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rugi\Downloads\"/>
    </mc:Choice>
  </mc:AlternateContent>
  <xr:revisionPtr revIDLastSave="0" documentId="13_ncr:1_{EB261359-393D-4925-8CF1-1026343D3565}" xr6:coauthVersionLast="47" xr6:coauthVersionMax="47" xr10:uidLastSave="{00000000-0000-0000-0000-000000000000}"/>
  <bookViews>
    <workbookView xWindow="2820" yWindow="1335" windowWidth="28800" windowHeight="9210" activeTab="2" xr2:uid="{00000000-000D-0000-FFFF-FFFF00000000}"/>
  </bookViews>
  <sheets>
    <sheet name="Resumo" sheetId="5" r:id="rId1"/>
    <sheet name="Parâmetros" sheetId="1" r:id="rId2"/>
    <sheet name="Modelo B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7" i="5"/>
  <c r="B5" i="5" l="1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F10" i="3" s="1"/>
  <c r="D9" i="3"/>
  <c r="D8" i="3"/>
  <c r="D7" i="3"/>
  <c r="F7" i="3" s="1"/>
  <c r="D6" i="3"/>
  <c r="F2" i="3"/>
  <c r="B2" i="3"/>
  <c r="G6" i="3" s="1"/>
  <c r="F6" i="3" l="1"/>
  <c r="F8" i="3"/>
  <c r="I6" i="3"/>
  <c r="J6" i="3" s="1"/>
  <c r="G7" i="3" s="1"/>
  <c r="F9" i="3"/>
  <c r="I7" i="3" l="1"/>
  <c r="J7" i="3" s="1"/>
  <c r="G8" i="3" s="1"/>
  <c r="I8" i="3" l="1"/>
  <c r="J8" i="3" s="1"/>
  <c r="G9" i="3" s="1"/>
  <c r="I9" i="3" l="1"/>
  <c r="J9" i="3" s="1"/>
  <c r="G10" i="3" s="1"/>
  <c r="I10" i="3" l="1"/>
  <c r="J10" i="3" s="1"/>
  <c r="G11" i="3" s="1"/>
  <c r="I11" i="3" l="1"/>
  <c r="J11" i="3" s="1"/>
  <c r="G12" i="3" s="1"/>
  <c r="I12" i="3" l="1"/>
  <c r="J12" i="3" s="1"/>
  <c r="G13" i="3" s="1"/>
  <c r="I13" i="3" l="1"/>
  <c r="J13" i="3" l="1"/>
  <c r="G14" i="3" s="1"/>
  <c r="I14" i="3" l="1"/>
  <c r="J14" i="3" l="1"/>
  <c r="G15" i="3" s="1"/>
  <c r="I15" i="3" l="1"/>
  <c r="J15" i="3" s="1"/>
  <c r="G16" i="3" s="1"/>
  <c r="I16" i="3" s="1"/>
  <c r="J16" i="3" l="1"/>
  <c r="G17" i="3" s="1"/>
  <c r="I17" i="3" l="1"/>
  <c r="J17" i="3" l="1"/>
  <c r="G18" i="3" s="1"/>
  <c r="I18" i="3" l="1"/>
  <c r="J18" i="3" l="1"/>
  <c r="G19" i="3" s="1"/>
  <c r="I19" i="3" l="1"/>
  <c r="J19" i="3" l="1"/>
  <c r="G20" i="3" s="1"/>
  <c r="I20" i="3" l="1"/>
  <c r="J20" i="3" l="1"/>
  <c r="G21" i="3" s="1"/>
  <c r="I21" i="3" l="1"/>
  <c r="J21" i="3" l="1"/>
  <c r="G22" i="3" s="1"/>
  <c r="I22" i="3" l="1"/>
  <c r="J22" i="3" s="1"/>
  <c r="G23" i="3" l="1"/>
  <c r="I23" i="3" l="1"/>
  <c r="J23" i="3" l="1"/>
  <c r="G24" i="3" s="1"/>
  <c r="I24" i="3" l="1"/>
  <c r="J24" i="3" l="1"/>
  <c r="G25" i="3" s="1"/>
  <c r="I25" i="3" l="1"/>
  <c r="J25" i="3" l="1"/>
  <c r="G26" i="3" s="1"/>
  <c r="I26" i="3" l="1"/>
  <c r="J26" i="3" l="1"/>
  <c r="G27" i="3" s="1"/>
  <c r="I27" i="3" l="1"/>
  <c r="J27" i="3" l="1"/>
  <c r="G28" i="3" s="1"/>
  <c r="I28" i="3" l="1"/>
  <c r="J28" i="3" l="1"/>
  <c r="G29" i="3" s="1"/>
  <c r="I29" i="3" l="1"/>
  <c r="J29" i="3" l="1"/>
  <c r="G30" i="3" s="1"/>
  <c r="I30" i="3" l="1"/>
  <c r="J30" i="3" l="1"/>
  <c r="G31" i="3" s="1"/>
  <c r="I31" i="3" l="1"/>
  <c r="J31" i="3" l="1"/>
  <c r="G32" i="3" s="1"/>
  <c r="I32" i="3" l="1"/>
  <c r="J32" i="3" l="1"/>
  <c r="G33" i="3" s="1"/>
  <c r="I33" i="3" l="1"/>
  <c r="J33" i="3" l="1"/>
  <c r="G34" i="3" s="1"/>
  <c r="I34" i="3" l="1"/>
  <c r="J34" i="3" l="1"/>
  <c r="G35" i="3" s="1"/>
  <c r="I35" i="3" l="1"/>
  <c r="J35" i="3" l="1"/>
  <c r="G36" i="3" s="1"/>
  <c r="I36" i="3" l="1"/>
  <c r="J36" i="3" l="1"/>
  <c r="G37" i="3" s="1"/>
  <c r="I37" i="3" l="1"/>
  <c r="J37" i="3" l="1"/>
  <c r="G38" i="3" s="1"/>
  <c r="I38" i="3" l="1"/>
  <c r="J38" i="3" l="1"/>
  <c r="G39" i="3" s="1"/>
  <c r="I39" i="3" l="1"/>
  <c r="J39" i="3" l="1"/>
  <c r="G40" i="3" s="1"/>
  <c r="I40" i="3" l="1"/>
  <c r="J40" i="3" l="1"/>
  <c r="G41" i="3" s="1"/>
  <c r="I41" i="3" l="1"/>
  <c r="J41" i="3" l="1"/>
  <c r="G42" i="3" s="1"/>
  <c r="I42" i="3" l="1"/>
  <c r="J42" i="3" l="1"/>
  <c r="G43" i="3" s="1"/>
  <c r="I43" i="3" l="1"/>
  <c r="J43" i="3" l="1"/>
  <c r="G44" i="3" s="1"/>
  <c r="I44" i="3" l="1"/>
  <c r="J44" i="3" l="1"/>
  <c r="G45" i="3" s="1"/>
  <c r="I45" i="3" l="1"/>
  <c r="J45" i="3" l="1"/>
  <c r="G46" i="3" s="1"/>
  <c r="I46" i="3" l="1"/>
  <c r="J46" i="3" l="1"/>
  <c r="G47" i="3" s="1"/>
  <c r="I47" i="3" l="1"/>
  <c r="J47" i="3" l="1"/>
  <c r="G48" i="3" s="1"/>
  <c r="I48" i="3" l="1"/>
  <c r="J48" i="3" l="1"/>
  <c r="G49" i="3" s="1"/>
  <c r="I49" i="3" l="1"/>
  <c r="J49" i="3" l="1"/>
  <c r="G50" i="3" s="1"/>
  <c r="I50" i="3" l="1"/>
  <c r="J50" i="3" l="1"/>
  <c r="G51" i="3" s="1"/>
  <c r="I51" i="3" l="1"/>
  <c r="J51" i="3" l="1"/>
  <c r="G52" i="3" s="1"/>
  <c r="I52" i="3" l="1"/>
  <c r="J52" i="3" l="1"/>
  <c r="G53" i="3" s="1"/>
  <c r="I53" i="3" l="1"/>
  <c r="J53" i="3" l="1"/>
  <c r="G54" i="3" s="1"/>
  <c r="I54" i="3" l="1"/>
  <c r="J54" i="3" l="1"/>
  <c r="G55" i="3" s="1"/>
  <c r="I55" i="3" l="1"/>
  <c r="J55" i="3" l="1"/>
  <c r="G56" i="3" s="1"/>
  <c r="I56" i="3" l="1"/>
  <c r="J56" i="3" l="1"/>
  <c r="G57" i="3" s="1"/>
  <c r="I57" i="3" l="1"/>
  <c r="J57" i="3" l="1"/>
  <c r="G58" i="3" s="1"/>
  <c r="I58" i="3" l="1"/>
  <c r="J58" i="3" l="1"/>
  <c r="G59" i="3" s="1"/>
  <c r="I59" i="3" l="1"/>
  <c r="J59" i="3" l="1"/>
  <c r="G60" i="3" s="1"/>
  <c r="I60" i="3" l="1"/>
  <c r="J60" i="3" s="1"/>
  <c r="G61" i="3" l="1"/>
  <c r="I61" i="3" l="1"/>
  <c r="J61" i="3" l="1"/>
  <c r="G62" i="3" s="1"/>
  <c r="I62" i="3" l="1"/>
  <c r="J62" i="3" l="1"/>
  <c r="G63" i="3" s="1"/>
  <c r="I63" i="3" l="1"/>
  <c r="J63" i="3" l="1"/>
  <c r="G64" i="3" s="1"/>
  <c r="I64" i="3" l="1"/>
  <c r="J64" i="3" l="1"/>
  <c r="G65" i="3" s="1"/>
  <c r="I65" i="3" l="1"/>
  <c r="J65" i="3" l="1"/>
  <c r="G66" i="3" s="1"/>
  <c r="I66" i="3" l="1"/>
  <c r="J66" i="3" l="1"/>
  <c r="G67" i="3" s="1"/>
  <c r="I67" i="3" l="1"/>
  <c r="J67" i="3" l="1"/>
  <c r="G68" i="3" s="1"/>
  <c r="I68" i="3" l="1"/>
  <c r="J68" i="3" l="1"/>
  <c r="G69" i="3" s="1"/>
  <c r="I69" i="3" l="1"/>
  <c r="J69" i="3" l="1"/>
  <c r="G70" i="3" s="1"/>
  <c r="I70" i="3" l="1"/>
  <c r="J70" i="3" l="1"/>
  <c r="G71" i="3" s="1"/>
  <c r="I71" i="3" l="1"/>
  <c r="J71" i="3" l="1"/>
  <c r="G72" i="3" s="1"/>
  <c r="I72" i="3" l="1"/>
  <c r="J72" i="3" l="1"/>
  <c r="G73" i="3" s="1"/>
  <c r="I73" i="3" l="1"/>
  <c r="J73" i="3" l="1"/>
  <c r="G74" i="3" s="1"/>
  <c r="I74" i="3" l="1"/>
  <c r="J74" i="3" l="1"/>
  <c r="G75" i="3" s="1"/>
  <c r="I75" i="3" l="1"/>
  <c r="J75" i="3" l="1"/>
  <c r="G76" i="3" s="1"/>
  <c r="I76" i="3" l="1"/>
  <c r="J76" i="3" l="1"/>
  <c r="G77" i="3" s="1"/>
  <c r="I77" i="3" l="1"/>
  <c r="J77" i="3" l="1"/>
  <c r="G78" i="3" s="1"/>
  <c r="I78" i="3" l="1"/>
  <c r="J78" i="3" l="1"/>
  <c r="G79" i="3" s="1"/>
  <c r="I79" i="3" l="1"/>
  <c r="J79" i="3" l="1"/>
  <c r="G80" i="3" s="1"/>
  <c r="I80" i="3" l="1"/>
  <c r="J80" i="3" l="1"/>
  <c r="G81" i="3" s="1"/>
  <c r="I81" i="3" l="1"/>
  <c r="J81" i="3" l="1"/>
  <c r="G82" i="3" s="1"/>
  <c r="I82" i="3" l="1"/>
  <c r="J82" i="3" l="1"/>
  <c r="G83" i="3" s="1"/>
  <c r="I83" i="3" l="1"/>
  <c r="J83" i="3" l="1"/>
  <c r="G84" i="3" s="1"/>
  <c r="I84" i="3" l="1"/>
  <c r="J84" i="3" l="1"/>
  <c r="G85" i="3" s="1"/>
  <c r="I85" i="3" l="1"/>
  <c r="J85" i="3" l="1"/>
  <c r="G86" i="3" s="1"/>
  <c r="I86" i="3" l="1"/>
  <c r="J86" i="3" l="1"/>
  <c r="G87" i="3" s="1"/>
  <c r="I87" i="3" l="1"/>
  <c r="J87" i="3" l="1"/>
  <c r="G88" i="3" s="1"/>
  <c r="I88" i="3" l="1"/>
  <c r="J88" i="3" l="1"/>
  <c r="G89" i="3" s="1"/>
  <c r="I89" i="3" l="1"/>
  <c r="J89" i="3" l="1"/>
  <c r="G90" i="3" s="1"/>
  <c r="I90" i="3" l="1"/>
  <c r="J90" i="3" l="1"/>
  <c r="G91" i="3" s="1"/>
  <c r="I91" i="3" l="1"/>
  <c r="J91" i="3" l="1"/>
  <c r="G92" i="3" s="1"/>
  <c r="I92" i="3" l="1"/>
  <c r="J92" i="3" l="1"/>
  <c r="G93" i="3" s="1"/>
  <c r="I93" i="3" l="1"/>
  <c r="J93" i="3" l="1"/>
  <c r="G94" i="3" s="1"/>
  <c r="I94" i="3" l="1"/>
  <c r="J94" i="3" l="1"/>
  <c r="G95" i="3" s="1"/>
  <c r="I95" i="3" l="1"/>
  <c r="J95" i="3" l="1"/>
  <c r="G96" i="3" s="1"/>
  <c r="I96" i="3" l="1"/>
  <c r="J96" i="3" l="1"/>
  <c r="G97" i="3" s="1"/>
  <c r="I97" i="3" l="1"/>
  <c r="J97" i="3" l="1"/>
  <c r="G98" i="3" s="1"/>
  <c r="I98" i="3" l="1"/>
  <c r="J98" i="3" l="1"/>
  <c r="G99" i="3" s="1"/>
  <c r="I99" i="3" l="1"/>
  <c r="J99" i="3" l="1"/>
  <c r="G100" i="3" s="1"/>
  <c r="I100" i="3" l="1"/>
  <c r="J100" i="3" l="1"/>
  <c r="G101" i="3" s="1"/>
  <c r="I101" i="3" l="1"/>
  <c r="J101" i="3" l="1"/>
  <c r="G102" i="3" s="1"/>
  <c r="I102" i="3" l="1"/>
  <c r="J102" i="3" l="1"/>
  <c r="G103" i="3" s="1"/>
  <c r="I103" i="3" l="1"/>
  <c r="J103" i="3" l="1"/>
  <c r="G104" i="3" s="1"/>
  <c r="I104" i="3" l="1"/>
  <c r="J104" i="3" l="1"/>
  <c r="G105" i="3" s="1"/>
  <c r="I105" i="3" l="1"/>
  <c r="J105" i="3" l="1"/>
  <c r="G106" i="3" s="1"/>
  <c r="I106" i="3" l="1"/>
  <c r="J106" i="3" l="1"/>
  <c r="G107" i="3" s="1"/>
  <c r="I107" i="3" l="1"/>
  <c r="J107" i="3" l="1"/>
  <c r="G108" i="3" s="1"/>
  <c r="I108" i="3" l="1"/>
  <c r="J108" i="3" l="1"/>
  <c r="G109" i="3" s="1"/>
  <c r="I109" i="3" l="1"/>
  <c r="J109" i="3" l="1"/>
  <c r="G110" i="3" s="1"/>
  <c r="I110" i="3" l="1"/>
  <c r="J110" i="3" l="1"/>
  <c r="G111" i="3" s="1"/>
  <c r="I111" i="3" l="1"/>
  <c r="J111" i="3" l="1"/>
  <c r="G112" i="3" s="1"/>
  <c r="I112" i="3" l="1"/>
  <c r="J112" i="3" l="1"/>
  <c r="G113" i="3" s="1"/>
  <c r="I113" i="3" l="1"/>
  <c r="J113" i="3" l="1"/>
  <c r="G114" i="3" s="1"/>
  <c r="I114" i="3" l="1"/>
  <c r="J114" i="3" l="1"/>
  <c r="G115" i="3" s="1"/>
  <c r="I115" i="3" l="1"/>
  <c r="J115" i="3" l="1"/>
  <c r="G116" i="3" s="1"/>
  <c r="I116" i="3" l="1"/>
  <c r="J116" i="3" l="1"/>
  <c r="G117" i="3" s="1"/>
  <c r="I117" i="3" l="1"/>
  <c r="J117" i="3" l="1"/>
  <c r="G118" i="3" s="1"/>
  <c r="I118" i="3" l="1"/>
  <c r="J118" i="3" l="1"/>
  <c r="G119" i="3" s="1"/>
  <c r="I119" i="3" l="1"/>
  <c r="J119" i="3" l="1"/>
  <c r="G120" i="3" s="1"/>
  <c r="I120" i="3" l="1"/>
  <c r="J120" i="3" l="1"/>
  <c r="G121" i="3" s="1"/>
  <c r="I121" i="3" l="1"/>
  <c r="J121" i="3" l="1"/>
  <c r="G122" i="3" s="1"/>
  <c r="I122" i="3" l="1"/>
  <c r="J122" i="3" l="1"/>
  <c r="G123" i="3" s="1"/>
  <c r="I123" i="3" l="1"/>
  <c r="J123" i="3" l="1"/>
  <c r="G124" i="3" s="1"/>
  <c r="I124" i="3" l="1"/>
  <c r="J124" i="3" s="1"/>
  <c r="G125" i="3" l="1"/>
  <c r="I125" i="3" l="1"/>
  <c r="J125" i="3" s="1"/>
  <c r="G126" i="3" l="1"/>
  <c r="I126" i="3" l="1"/>
  <c r="J126" i="3" s="1"/>
  <c r="G127" i="3" l="1"/>
  <c r="I127" i="3" l="1"/>
  <c r="J127" i="3" s="1"/>
  <c r="G128" i="3" l="1"/>
  <c r="I128" i="3" l="1"/>
  <c r="J128" i="3" s="1"/>
</calcChain>
</file>

<file path=xl/sharedStrings.xml><?xml version="1.0" encoding="utf-8"?>
<sst xmlns="http://schemas.openxmlformats.org/spreadsheetml/2006/main" count="171" uniqueCount="49">
  <si>
    <t xml:space="preserve">Confissão de Dívida - Cemil Tubos e Conexões </t>
  </si>
  <si>
    <t>Ao valor confessado, serão incorporados mensalmente correção monetária com base na Taxa SELIC  (aplicados sobre o valor da dívida ativa)</t>
  </si>
  <si>
    <t>Saldo inicial (original)</t>
  </si>
  <si>
    <t>Abatimento Tecnomonte (amortização)</t>
  </si>
  <si>
    <t>Valor parcela</t>
  </si>
  <si>
    <t>Total pago (Parcelas semanais de R$20.000,00 pagas até 19/09/2025)</t>
  </si>
  <si>
    <t>Saldo Atual</t>
  </si>
  <si>
    <t>Observação:</t>
  </si>
  <si>
    <t>O nº de parcelas extras depende da SELIC lançada mês a mês.</t>
  </si>
  <si>
    <t>Parâmetros do Acordo</t>
  </si>
  <si>
    <t>Saldo inicial (data base)</t>
  </si>
  <si>
    <t>Data base (início)</t>
  </si>
  <si>
    <t>Valor parcela (fixa)</t>
  </si>
  <si>
    <t>Tabela SELIC (mensal)</t>
  </si>
  <si>
    <t>Competência (AAAA-MM)</t>
  </si>
  <si>
    <t>Taxa Mensal (%)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</si>
  <si>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</si>
  <si>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</si>
  <si>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</si>
  <si>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</si>
  <si>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</si>
  <si>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</si>
  <si>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</si>
  <si>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</si>
  <si>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</si>
  <si>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</si>
  <si>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</si>
  <si>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</si>
  <si>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</si>
  <si>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</si>
  <si>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</si>
  <si>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</si>
  <si>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</si>
  <si>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Resumo do Acordo – Confissão de Dívida</t>
  </si>
  <si>
    <t>Valor da dívida (base)</t>
  </si>
  <si>
    <t>Valor da parcela</t>
  </si>
  <si>
    <t>*Se cair em feriado, antecipar manualmente a data para o dia útil anterior.</t>
  </si>
  <si>
    <t>Parcela #</t>
  </si>
  <si>
    <t>Data prevista</t>
  </si>
  <si>
    <t>Dia da semana</t>
  </si>
  <si>
    <t>Data pagamento</t>
  </si>
  <si>
    <t>Valor pago</t>
  </si>
  <si>
    <t>Saldo anterior</t>
  </si>
  <si>
    <t>Juros (Selic mês)</t>
  </si>
  <si>
    <t>Amortização</t>
  </si>
  <si>
    <t>Saldo após pagamento</t>
  </si>
  <si>
    <t>Observações</t>
  </si>
  <si>
    <t>Friday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</si>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</sst>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165" fontId="0" fillId="0" borderId="0" xfId="0" applyNumberFormat="1"/>
    <xf numFmtId="10" fontId="0" fillId="0" borderId="0" xfId="0" applyNumberFormat="1"/>
    <xf numFmtId="10" fontId="0" fillId="4" borderId="3" xfId="0" applyNumberFormat="1" applyFill="1" applyBorder="1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/>
    <xf numFmtId="165" fontId="0" fillId="5" borderId="1" xfId="0" applyNumberFormat="1" applyFill="1" applyBorder="1" applyAlignment="1">
      <alignment horizontal="center" vertical="center"/>
    </xf>
    <xf numFmtId="10" fontId="0" fillId="3" borderId="0" xfId="0" applyNumberFormat="1" applyFill="1"/>
    <xf numFmtId="10" fontId="0" fillId="4" borderId="4" xfId="0" applyNumberFormat="1" applyFill="1" applyBorder="1"/>
    <xf numFmtId="2" fontId="0" fillId="0" borderId="1" xfId="0" applyNumberFormat="1" applyBorder="1"/>
    <xf numFmtId="2" fontId="0" fillId="0" borderId="0" xfId="0" applyNumberFormat="1"/>
    <xf numFmtId="2" fontId="0" fillId="0" borderId="6" xfId="0" applyNumberFormat="1" applyBorder="1"/>
    <xf numFmtId="0" fontId="0" fillId="0" borderId="0" xfId="0" applyAlignment="1">
      <alignment horizontal="left"/>
    </xf>
    <xf numFmtId="10" fontId="0" fillId="0" borderId="2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NumberFormat="1" applyBorder="1"/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B11" sqref="B11"/>
    </sheetView>
  </sheetViews>
  <sheetFormatPr defaultRowHeight="15" x14ac:dyDescent="0.25"/>
  <cols>
    <col min="1" max="1" width="40.5703125" customWidth="1"/>
    <col min="2" max="2" width="22.7109375" customWidth="1"/>
  </cols>
  <sheetData>
    <row r="1" spans="1:6" ht="18.75" x14ac:dyDescent="0.25">
      <c r="A1" s="25" t="s">
        <v>0</v>
      </c>
      <c r="B1" s="25"/>
    </row>
    <row r="2" spans="1:6" ht="60" customHeight="1" x14ac:dyDescent="0.25">
      <c r="A2" s="26" t="s">
        <v>1</v>
      </c>
      <c r="B2" s="26"/>
    </row>
    <row r="3" spans="1:6" x14ac:dyDescent="0.25">
      <c r="A3" s="3" t="s">
        <v>2</v>
      </c>
      <c r="B3" s="11">
        <v>2983672.97</v>
      </c>
    </row>
    <row r="4" spans="1:6" x14ac:dyDescent="0.25">
      <c r="A4" s="3" t="s">
        <v>3</v>
      </c>
      <c r="B4" s="12">
        <v>-172364.3</v>
      </c>
    </row>
    <row r="5" spans="1:6" x14ac:dyDescent="0.25">
      <c r="A5" s="3" t="s">
        <v>4</v>
      </c>
      <c r="B5" s="11">
        <f>Parâmetros!B5</f>
        <v>20000</v>
      </c>
    </row>
    <row r="6" spans="1:6" ht="61.5" customHeight="1" x14ac:dyDescent="0.25">
      <c r="A6" s="13" t="s">
        <v>5</v>
      </c>
      <c r="B6" s="11">
        <f>-32*Parâmetros!B5</f>
        <v>-640000</v>
      </c>
    </row>
    <row r="7" spans="1:6" x14ac:dyDescent="0.25">
      <c r="A7" s="14" t="s">
        <v>6</v>
      </c>
      <c r="B7" s="15">
        <f>SUM(B3+B4+B6)</f>
        <v>2171308.6700000004</v>
      </c>
    </row>
    <row r="8" spans="1:6" x14ac:dyDescent="0.25">
      <c r="A8" t="s">
        <v>7</v>
      </c>
      <c r="B8" s="24" t="s">
        <v>8</v>
      </c>
      <c r="C8" s="24"/>
      <c r="D8" s="24"/>
      <c r="E8" s="24"/>
      <c r="F8" s="24"/>
    </row>
  </sheetData>
  <mergeCells count="3">
    <mergeCell ref="B8:F8"/>
    <mergeCell ref="A1:B1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10" sqref="B10"/>
    </sheetView>
  </sheetViews>
  <sheetFormatPr defaultRowHeight="15" x14ac:dyDescent="0.25"/>
  <cols>
    <col min="1" max="1" width="27" customWidth="1"/>
    <col min="2" max="2" width="18" customWidth="1"/>
  </cols>
  <sheetData>
    <row r="1" spans="1:2" x14ac:dyDescent="0.25">
      <c r="A1" t="s">
        <v>9</v>
      </c>
    </row>
    <row r="3" spans="1:2" x14ac:dyDescent="0.25">
      <c r="A3" t="s">
        <v>10</v>
      </c>
      <c r="B3" s="8">
        <v>2171308.67</v>
      </c>
    </row>
    <row r="4" spans="1:2" x14ac:dyDescent="0.25">
      <c r="A4" t="s">
        <v>11</v>
      </c>
      <c r="B4" s="1">
        <v>45926</v>
      </c>
    </row>
    <row r="5" spans="1:2" x14ac:dyDescent="0.25">
      <c r="A5" t="s">
        <v>12</v>
      </c>
      <c r="B5" s="2">
        <v>20000</v>
      </c>
    </row>
    <row r="7" spans="1:2" x14ac:dyDescent="0.25">
      <c r="A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s="3" t="s">
        <v>16</v>
      </c>
      <c r="B9" s="4">
        <v>1.1599999999999999E-2</v>
      </c>
    </row>
    <row r="10" spans="1:2" x14ac:dyDescent="0.25">
      <c r="A10" s="3" t="s">
        <v>17</v>
      </c>
      <c r="B10" s="4">
        <v>1.2200000000000001E-2</v>
      </c>
    </row>
    <row r="11" spans="1:2" x14ac:dyDescent="0.25">
      <c r="A11" s="3" t="s">
        <v>18</v>
      </c>
      <c r="B11" s="4">
        <v>1.2800000000000001E-2</v>
      </c>
    </row>
    <row r="12" spans="1:2" x14ac:dyDescent="0.25">
      <c r="A12" s="3" t="s">
        <v>19</v>
      </c>
      <c r="B12" s="4">
        <v>1.0500000000000001E-2</v>
      </c>
    </row>
    <row r="13" spans="1:2" x14ac:dyDescent="0.25">
      <c r="A13" s="3" t="s">
        <v>20</v>
      </c>
      <c r="B13" s="4">
        <v>1.2200000000000001E-2</v>
      </c>
    </row>
    <row r="14" spans="1:2" x14ac:dyDescent="0.25">
      <c r="A14" s="3" t="s">
        <v>21</v>
      </c>
      <c r="B14" s="4">
        <v>1.1599999999999999E-2</v>
      </c>
    </row>
    <row r="15" spans="1:2" x14ac:dyDescent="0.25">
      <c r="A15" s="3" t="s">
        <v>22</v>
      </c>
      <c r="B15" s="4">
        <v>1.1599999999999999E-2</v>
      </c>
    </row>
    <row r="16" spans="1:2" x14ac:dyDescent="0.25">
      <c r="A16" s="3" t="s">
        <v>23</v>
      </c>
      <c r="B16" s="4">
        <v>0</v>
      </c>
    </row>
    <row r="17" spans="1:2" x14ac:dyDescent="0.25">
      <c r="A17" s="3" t="s">
        <v>24</v>
      </c>
      <c r="B17" s="4">
        <v>0</v>
      </c>
    </row>
    <row r="18" spans="1:2" x14ac:dyDescent="0.25">
      <c r="A18" s="3" t="s">
        <v>25</v>
      </c>
      <c r="B18" s="4">
        <v>0</v>
      </c>
    </row>
    <row r="19" spans="1:2" x14ac:dyDescent="0.25">
      <c r="A19" s="3" t="s">
        <v>26</v>
      </c>
      <c r="B19" s="4">
        <v>0</v>
      </c>
    </row>
    <row r="20" spans="1:2" x14ac:dyDescent="0.25">
      <c r="A20" s="3" t="s">
        <v>27</v>
      </c>
      <c r="B20" s="4">
        <v>0</v>
      </c>
    </row>
    <row r="21" spans="1:2" x14ac:dyDescent="0.25">
      <c r="A21" s="3" t="s">
        <v>28</v>
      </c>
      <c r="B21" s="4">
        <v>0</v>
      </c>
    </row>
    <row r="22" spans="1:2" x14ac:dyDescent="0.25">
      <c r="A22" s="3" t="s">
        <v>29</v>
      </c>
      <c r="B22" s="4">
        <v>0</v>
      </c>
    </row>
    <row r="23" spans="1:2" x14ac:dyDescent="0.25">
      <c r="A23" s="3" t="s">
        <v>30</v>
      </c>
      <c r="B23" s="4">
        <v>0</v>
      </c>
    </row>
    <row r="24" spans="1:2" x14ac:dyDescent="0.25">
      <c r="A24" s="3" t="s">
        <v>31</v>
      </c>
      <c r="B24" s="4">
        <v>0</v>
      </c>
    </row>
    <row r="25" spans="1:2" x14ac:dyDescent="0.25">
      <c r="A25" s="3" t="s">
        <v>32</v>
      </c>
      <c r="B25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2"/>
  <sheetViews>
    <sheetView tabSelected="1" topLeftCell="A2" workbookViewId="0">
      <selection activeCell="G6" sqref="G6:G128"/>
    </sheetView>
  </sheetViews>
  <sheetFormatPr defaultRowHeight="15" x14ac:dyDescent="0.25"/>
  <cols>
    <col min="1" max="1" width="19.5703125" customWidth="1"/>
    <col min="2" max="2" width="19.140625" customWidth="1"/>
    <col min="3" max="5" width="18" customWidth="1"/>
    <col min="6" max="6" width="18" style="19" customWidth="1"/>
    <col min="7" max="7" width="18" customWidth="1"/>
    <col min="8" max="8" width="18" style="9" customWidth="1"/>
    <col min="9" max="11" width="18" customWidth="1"/>
  </cols>
  <sheetData>
    <row r="1" spans="1:11" ht="24" customHeight="1" x14ac:dyDescent="0.25">
      <c r="A1" s="21" t="s">
        <v>33</v>
      </c>
      <c r="B1" s="21"/>
      <c r="C1" s="21"/>
      <c r="D1" s="21"/>
      <c r="F1"/>
      <c r="H1"/>
    </row>
    <row r="2" spans="1:11" ht="28.5" customHeight="1" x14ac:dyDescent="0.25">
      <c r="A2" t="s">
        <v>34</v>
      </c>
      <c r="B2" s="2">
        <f>Parâmetros!B3</f>
        <v>2171308.67</v>
      </c>
      <c r="D2" s="1"/>
      <c r="E2" t="s">
        <v>35</v>
      </c>
      <c r="F2" s="2">
        <f>Parâmetros!B5</f>
        <v>20000</v>
      </c>
      <c r="H2"/>
    </row>
    <row r="3" spans="1:11" ht="28.5" customHeight="1" x14ac:dyDescent="0.25">
      <c r="A3" s="21" t="s">
        <v>36</v>
      </c>
      <c r="B3" s="21"/>
      <c r="C3" s="21"/>
      <c r="D3" s="21"/>
      <c r="F3"/>
      <c r="H3"/>
    </row>
    <row r="4" spans="1:11" x14ac:dyDescent="0.25">
      <c r="F4"/>
      <c r="H4"/>
    </row>
    <row r="5" spans="1:11" x14ac:dyDescent="0.25">
      <c r="A5" s="5" t="s">
        <v>37</v>
      </c>
      <c r="B5" s="5" t="s">
        <v>38</v>
      </c>
      <c r="C5" s="5" t="s">
        <v>39</v>
      </c>
      <c r="D5" s="5" t="s">
        <v>4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</row>
    <row r="6" spans="1:11" x14ac:dyDescent="0.25">
      <c r="A6" s="3">
        <v>28</v>
      </c>
      <c r="B6" s="6">
        <v>45891</v>
      </c>
      <c r="C6" s="3" t="s">
        <v>47</v>
      </c>
      <c r="D6" s="18">
        <f>Parâmetros!B5</f>
        <v>20000</v>
      </c>
      <c r="E6" s="6">
        <v>45891</v>
      </c>
      <c r="F6" s="18">
        <f>D6</f>
        <v>20000</v>
      </c>
      <c r="G6" s="27">
        <f>$B$2</f>
        <v>2171308.67</v>
      </c>
      <c r="H6" s="22"/>
      <c r="I6" s="18">
        <f t="shared" ref="I6:I10" si="0">MIN(D6,G6)</f>
        <v>20000</v>
      </c>
      <c r="J6" s="18">
        <f t="shared" ref="J6:J10" si="1">G6-I6+H6</f>
        <v>2151308.67</v>
      </c>
      <c r="K6" s="3"/>
    </row>
    <row r="7" spans="1:11" x14ac:dyDescent="0.25">
      <c r="A7" s="3">
        <v>29</v>
      </c>
      <c r="B7" s="6">
        <v>45898</v>
      </c>
      <c r="C7" s="3" t="s">
        <v>47</v>
      </c>
      <c r="D7" s="18">
        <f>Parâmetros!B5</f>
        <v>20000</v>
      </c>
      <c r="E7" s="6">
        <v>45898</v>
      </c>
      <c r="F7" s="18">
        <f>D7</f>
        <v>20000</v>
      </c>
      <c r="G7" s="27">
        <f t="shared" ref="G7:G10" si="2">J6</f>
        <v>2151308.67</v>
      </c>
      <c r="H7" s="23"/>
      <c r="I7" s="18">
        <f t="shared" si="0"/>
        <v>20000</v>
      </c>
      <c r="J7" s="18">
        <f t="shared" si="1"/>
        <v>2131308.67</v>
      </c>
      <c r="K7" s="3"/>
    </row>
    <row r="8" spans="1:11" x14ac:dyDescent="0.25">
      <c r="A8" s="3">
        <v>30</v>
      </c>
      <c r="B8" s="6">
        <v>45905</v>
      </c>
      <c r="C8" s="3" t="s">
        <v>47</v>
      </c>
      <c r="D8" s="18">
        <f>Parâmetros!B5</f>
        <v>20000</v>
      </c>
      <c r="E8" s="6">
        <v>45905</v>
      </c>
      <c r="F8" s="18">
        <f>D8</f>
        <v>20000</v>
      </c>
      <c r="G8" s="27">
        <f t="shared" si="2"/>
        <v>2131308.67</v>
      </c>
      <c r="H8" s="23"/>
      <c r="I8" s="18">
        <f t="shared" si="0"/>
        <v>20000</v>
      </c>
      <c r="J8" s="18">
        <f t="shared" si="1"/>
        <v>2111308.67</v>
      </c>
      <c r="K8" s="3"/>
    </row>
    <row r="9" spans="1:11" x14ac:dyDescent="0.25">
      <c r="A9" s="3">
        <v>31</v>
      </c>
      <c r="B9" s="6">
        <v>45912</v>
      </c>
      <c r="C9" s="3" t="s">
        <v>47</v>
      </c>
      <c r="D9" s="18">
        <f>Parâmetros!B5</f>
        <v>20000</v>
      </c>
      <c r="E9" s="6">
        <v>45912</v>
      </c>
      <c r="F9" s="18">
        <f>D9</f>
        <v>20000</v>
      </c>
      <c r="G9" s="27">
        <f t="shared" si="2"/>
        <v>2111308.67</v>
      </c>
      <c r="H9" s="23"/>
      <c r="I9" s="18">
        <f t="shared" si="0"/>
        <v>20000</v>
      </c>
      <c r="J9" s="18">
        <f t="shared" si="1"/>
        <v>2091308.67</v>
      </c>
      <c r="K9" s="3"/>
    </row>
    <row r="10" spans="1:11" x14ac:dyDescent="0.25">
      <c r="A10" s="3">
        <v>32</v>
      </c>
      <c r="B10" s="6">
        <v>45919</v>
      </c>
      <c r="C10" s="3" t="s">
        <v>47</v>
      </c>
      <c r="D10" s="18">
        <f>Parâmetros!B5</f>
        <v>20000</v>
      </c>
      <c r="E10" s="6">
        <v>45919</v>
      </c>
      <c r="F10" s="18">
        <f>D10</f>
        <v>20000</v>
      </c>
      <c r="G10" s="27">
        <f t="shared" si="2"/>
        <v>2091308.67</v>
      </c>
      <c r="H10" s="23"/>
      <c r="I10" s="18">
        <f t="shared" si="0"/>
        <v>20000</v>
      </c>
      <c r="J10" s="18">
        <f t="shared" si="1"/>
        <v>2071308.67</v>
      </c>
      <c r="K10" s="3"/>
    </row>
    <row r="11" spans="1:11" x14ac:dyDescent="0.25">
      <c r="A11" s="3">
        <v>33</v>
      </c>
      <c r="B11" s="6">
        <v>45926</v>
      </c>
      <c r="C11" s="3" t="s">
        <v>47</v>
      </c>
      <c r="D11" s="18">
        <f>Parâmetros!B5</f>
        <v>20000</v>
      </c>
      <c r="E11" s="6">
        <v>45926</v>
      </c>
      <c r="F11" s="18">
        <v>20000</v>
      </c>
      <c r="G11" s="27">
        <f t="shared" ref="G11:G42" si="3">J10</f>
        <v>2071308.67</v>
      </c>
      <c r="H11" s="23"/>
      <c r="I11" s="18">
        <f t="shared" ref="I11:I42" si="4">MIN(D11,G11)</f>
        <v>20000</v>
      </c>
      <c r="J11" s="18">
        <f>G11-I11+H11</f>
        <v>2051308.67</v>
      </c>
      <c r="K11" s="3"/>
    </row>
    <row r="12" spans="1:11" x14ac:dyDescent="0.25">
      <c r="A12" s="3">
        <v>34</v>
      </c>
      <c r="B12" s="6">
        <v>45929</v>
      </c>
      <c r="C12" s="3" t="s">
        <v>48</v>
      </c>
      <c r="D12" s="18">
        <f>Parâmetros!B5</f>
        <v>20000</v>
      </c>
      <c r="E12" s="6"/>
      <c r="F12" s="18"/>
      <c r="G12" s="28">
        <f t="shared" si="3"/>
        <v>2051308.67</v>
      </c>
      <c r="H12" s="16">
        <v>1.2200000000000001E-2</v>
      </c>
      <c r="I12" s="20">
        <f t="shared" si="4"/>
        <v>20000</v>
      </c>
      <c r="J12" s="18">
        <f>G12-I12+H12</f>
        <v>2031308.6821999999</v>
      </c>
      <c r="K12" s="3"/>
    </row>
    <row r="13" spans="1:11" x14ac:dyDescent="0.25">
      <c r="A13" s="3">
        <v>35</v>
      </c>
      <c r="B13" s="6">
        <v>45933</v>
      </c>
      <c r="C13" s="3" t="s">
        <v>47</v>
      </c>
      <c r="D13" s="18">
        <f>Parâmetros!B5</f>
        <v>20000</v>
      </c>
      <c r="E13" s="6"/>
      <c r="F13" s="18"/>
      <c r="G13" s="27">
        <f t="shared" si="3"/>
        <v>2031308.6821999999</v>
      </c>
      <c r="H13" s="10"/>
      <c r="I13" s="18">
        <f t="shared" si="4"/>
        <v>20000</v>
      </c>
      <c r="J13" s="18">
        <f>SUM(G13-I13)*H13+(G13-I13)</f>
        <v>2011308.6821999999</v>
      </c>
      <c r="K13" s="3"/>
    </row>
    <row r="14" spans="1:11" x14ac:dyDescent="0.25">
      <c r="A14" s="3">
        <v>36</v>
      </c>
      <c r="B14" s="6">
        <v>45936</v>
      </c>
      <c r="C14" s="3" t="s">
        <v>48</v>
      </c>
      <c r="D14" s="18">
        <f>Parâmetros!B5</f>
        <v>20000</v>
      </c>
      <c r="E14" s="6"/>
      <c r="F14" s="18"/>
      <c r="G14" s="27">
        <f t="shared" si="3"/>
        <v>2011308.6821999999</v>
      </c>
      <c r="H14" s="10"/>
      <c r="I14" s="18">
        <f t="shared" si="4"/>
        <v>20000</v>
      </c>
      <c r="J14" s="18">
        <f t="shared" ref="J14:J77" si="5">SUM(G14-I14)*H14+(G14-I14)</f>
        <v>1991308.6821999999</v>
      </c>
      <c r="K14" s="3"/>
    </row>
    <row r="15" spans="1:11" x14ac:dyDescent="0.25">
      <c r="A15" s="3">
        <v>37</v>
      </c>
      <c r="B15" s="6">
        <v>45940</v>
      </c>
      <c r="C15" s="3" t="s">
        <v>47</v>
      </c>
      <c r="D15" s="18">
        <f>Parâmetros!B5</f>
        <v>20000</v>
      </c>
      <c r="E15" s="6"/>
      <c r="F15" s="18"/>
      <c r="G15" s="27">
        <f t="shared" si="3"/>
        <v>1991308.6821999999</v>
      </c>
      <c r="H15" s="10"/>
      <c r="I15" s="18">
        <f t="shared" si="4"/>
        <v>20000</v>
      </c>
      <c r="J15" s="18">
        <f t="shared" si="5"/>
        <v>1971308.6821999999</v>
      </c>
      <c r="K15" s="3"/>
    </row>
    <row r="16" spans="1:11" x14ac:dyDescent="0.25">
      <c r="A16" s="3">
        <v>38</v>
      </c>
      <c r="B16" s="6">
        <v>45943</v>
      </c>
      <c r="C16" s="3" t="s">
        <v>48</v>
      </c>
      <c r="D16" s="18">
        <f>Parâmetros!B5</f>
        <v>20000</v>
      </c>
      <c r="E16" s="6"/>
      <c r="F16" s="18"/>
      <c r="G16" s="27">
        <f t="shared" si="3"/>
        <v>1971308.6821999999</v>
      </c>
      <c r="H16" s="10"/>
      <c r="I16" s="18">
        <f t="shared" si="4"/>
        <v>20000</v>
      </c>
      <c r="J16" s="18">
        <f t="shared" si="5"/>
        <v>1951308.6821999999</v>
      </c>
      <c r="K16" s="3"/>
    </row>
    <row r="17" spans="1:11" x14ac:dyDescent="0.25">
      <c r="A17" s="3">
        <v>39</v>
      </c>
      <c r="B17" s="6">
        <v>45947</v>
      </c>
      <c r="C17" s="3" t="s">
        <v>47</v>
      </c>
      <c r="D17" s="18">
        <f>Parâmetros!B5</f>
        <v>20000</v>
      </c>
      <c r="E17" s="6"/>
      <c r="F17" s="18"/>
      <c r="G17" s="27">
        <f t="shared" si="3"/>
        <v>1951308.6821999999</v>
      </c>
      <c r="H17" s="10"/>
      <c r="I17" s="18">
        <f t="shared" si="4"/>
        <v>20000</v>
      </c>
      <c r="J17" s="18">
        <f t="shared" si="5"/>
        <v>1931308.6821999999</v>
      </c>
      <c r="K17" s="3"/>
    </row>
    <row r="18" spans="1:11" x14ac:dyDescent="0.25">
      <c r="A18" s="3">
        <v>40</v>
      </c>
      <c r="B18" s="6">
        <v>45950</v>
      </c>
      <c r="C18" s="3" t="s">
        <v>48</v>
      </c>
      <c r="D18" s="18">
        <f>Parâmetros!B5</f>
        <v>20000</v>
      </c>
      <c r="E18" s="6"/>
      <c r="F18" s="18"/>
      <c r="G18" s="27">
        <f t="shared" si="3"/>
        <v>1931308.6821999999</v>
      </c>
      <c r="H18" s="10"/>
      <c r="I18" s="18">
        <f t="shared" si="4"/>
        <v>20000</v>
      </c>
      <c r="J18" s="18">
        <f t="shared" si="5"/>
        <v>1911308.6821999999</v>
      </c>
      <c r="K18" s="3"/>
    </row>
    <row r="19" spans="1:11" x14ac:dyDescent="0.25">
      <c r="A19" s="3">
        <v>41</v>
      </c>
      <c r="B19" s="6">
        <v>45954</v>
      </c>
      <c r="C19" s="3" t="s">
        <v>47</v>
      </c>
      <c r="D19" s="18">
        <f>Parâmetros!B5</f>
        <v>20000</v>
      </c>
      <c r="E19" s="6"/>
      <c r="F19" s="18"/>
      <c r="G19" s="27">
        <f t="shared" si="3"/>
        <v>1911308.6821999999</v>
      </c>
      <c r="H19" s="10"/>
      <c r="I19" s="18">
        <f t="shared" si="4"/>
        <v>20000</v>
      </c>
      <c r="J19" s="18">
        <f t="shared" si="5"/>
        <v>1891308.6821999999</v>
      </c>
      <c r="K19" s="3"/>
    </row>
    <row r="20" spans="1:11" x14ac:dyDescent="0.25">
      <c r="A20" s="3">
        <v>42</v>
      </c>
      <c r="B20" s="6">
        <v>45957</v>
      </c>
      <c r="C20" s="3" t="s">
        <v>48</v>
      </c>
      <c r="D20" s="18">
        <f>Parâmetros!B5</f>
        <v>20000</v>
      </c>
      <c r="E20" s="6"/>
      <c r="F20" s="18"/>
      <c r="G20" s="27">
        <f t="shared" si="3"/>
        <v>1891308.6821999999</v>
      </c>
      <c r="H20" s="10"/>
      <c r="I20" s="18">
        <f t="shared" si="4"/>
        <v>20000</v>
      </c>
      <c r="J20" s="18">
        <f t="shared" si="5"/>
        <v>1871308.6821999999</v>
      </c>
      <c r="K20" s="3"/>
    </row>
    <row r="21" spans="1:11" x14ac:dyDescent="0.25">
      <c r="A21" s="3">
        <v>43</v>
      </c>
      <c r="B21" s="6">
        <v>45961</v>
      </c>
      <c r="C21" s="3" t="s">
        <v>47</v>
      </c>
      <c r="D21" s="18">
        <f>Parâmetros!B5</f>
        <v>20000</v>
      </c>
      <c r="E21" s="6"/>
      <c r="F21" s="18"/>
      <c r="G21" s="28">
        <f t="shared" si="3"/>
        <v>1871308.6821999999</v>
      </c>
      <c r="H21" s="16">
        <v>1.2800000000000001E-2</v>
      </c>
      <c r="I21" s="20">
        <f t="shared" si="4"/>
        <v>20000</v>
      </c>
      <c r="J21" s="18">
        <f t="shared" si="5"/>
        <v>1875005.4333321599</v>
      </c>
      <c r="K21" s="3"/>
    </row>
    <row r="22" spans="1:11" x14ac:dyDescent="0.25">
      <c r="A22" s="3">
        <v>44</v>
      </c>
      <c r="B22" s="6">
        <v>45964</v>
      </c>
      <c r="C22" s="3" t="s">
        <v>48</v>
      </c>
      <c r="D22" s="18">
        <f>Parâmetros!B5</f>
        <v>20000</v>
      </c>
      <c r="E22" s="6"/>
      <c r="F22" s="18"/>
      <c r="G22" s="27">
        <f t="shared" si="3"/>
        <v>1875005.4333321599</v>
      </c>
      <c r="H22" s="10"/>
      <c r="I22" s="18">
        <f t="shared" si="4"/>
        <v>20000</v>
      </c>
      <c r="J22" s="18">
        <f>SUM(G22-I22)*H22+(G22-I22)</f>
        <v>1855005.4333321599</v>
      </c>
      <c r="K22" s="3"/>
    </row>
    <row r="23" spans="1:11" x14ac:dyDescent="0.25">
      <c r="A23" s="3">
        <v>45</v>
      </c>
      <c r="B23" s="6">
        <v>45968</v>
      </c>
      <c r="C23" s="3" t="s">
        <v>47</v>
      </c>
      <c r="D23" s="18">
        <f>Parâmetros!B5</f>
        <v>20000</v>
      </c>
      <c r="E23" s="6"/>
      <c r="F23" s="18"/>
      <c r="G23" s="27">
        <f t="shared" si="3"/>
        <v>1855005.4333321599</v>
      </c>
      <c r="H23" s="10"/>
      <c r="I23" s="18">
        <f t="shared" si="4"/>
        <v>20000</v>
      </c>
      <c r="J23" s="18">
        <f t="shared" si="5"/>
        <v>1835005.4333321599</v>
      </c>
      <c r="K23" s="3"/>
    </row>
    <row r="24" spans="1:11" x14ac:dyDescent="0.25">
      <c r="A24" s="3">
        <v>46</v>
      </c>
      <c r="B24" s="6">
        <v>45971</v>
      </c>
      <c r="C24" s="3" t="s">
        <v>48</v>
      </c>
      <c r="D24" s="18">
        <f>Parâmetros!B5</f>
        <v>20000</v>
      </c>
      <c r="E24" s="6"/>
      <c r="F24" s="18"/>
      <c r="G24" s="27">
        <f t="shared" si="3"/>
        <v>1835005.4333321599</v>
      </c>
      <c r="H24" s="10"/>
      <c r="I24" s="18">
        <f t="shared" si="4"/>
        <v>20000</v>
      </c>
      <c r="J24" s="18">
        <f t="shared" si="5"/>
        <v>1815005.4333321599</v>
      </c>
      <c r="K24" s="3"/>
    </row>
    <row r="25" spans="1:11" x14ac:dyDescent="0.25">
      <c r="A25" s="3">
        <v>47</v>
      </c>
      <c r="B25" s="6">
        <v>45975</v>
      </c>
      <c r="C25" s="3" t="s">
        <v>47</v>
      </c>
      <c r="D25" s="18">
        <f>Parâmetros!B5</f>
        <v>20000</v>
      </c>
      <c r="E25" s="6"/>
      <c r="F25" s="18"/>
      <c r="G25" s="27">
        <f t="shared" si="3"/>
        <v>1815005.4333321599</v>
      </c>
      <c r="H25" s="10"/>
      <c r="I25" s="18">
        <f t="shared" si="4"/>
        <v>20000</v>
      </c>
      <c r="J25" s="18">
        <f t="shared" si="5"/>
        <v>1795005.4333321599</v>
      </c>
      <c r="K25" s="3"/>
    </row>
    <row r="26" spans="1:11" x14ac:dyDescent="0.25">
      <c r="A26" s="3">
        <v>48</v>
      </c>
      <c r="B26" s="6">
        <v>45978</v>
      </c>
      <c r="C26" s="3" t="s">
        <v>48</v>
      </c>
      <c r="D26" s="18">
        <f>Parâmetros!B5</f>
        <v>20000</v>
      </c>
      <c r="E26" s="6"/>
      <c r="F26" s="18"/>
      <c r="G26" s="27">
        <f t="shared" si="3"/>
        <v>1795005.4333321599</v>
      </c>
      <c r="H26" s="10"/>
      <c r="I26" s="18">
        <f t="shared" si="4"/>
        <v>20000</v>
      </c>
      <c r="J26" s="18">
        <f t="shared" si="5"/>
        <v>1775005.4333321599</v>
      </c>
      <c r="K26" s="3"/>
    </row>
    <row r="27" spans="1:11" x14ac:dyDescent="0.25">
      <c r="A27" s="3">
        <v>49</v>
      </c>
      <c r="B27" s="6">
        <v>45982</v>
      </c>
      <c r="C27" s="3" t="s">
        <v>47</v>
      </c>
      <c r="D27" s="18">
        <f>Parâmetros!B5</f>
        <v>20000</v>
      </c>
      <c r="E27" s="6"/>
      <c r="F27" s="18"/>
      <c r="G27" s="27">
        <f t="shared" si="3"/>
        <v>1775005.4333321599</v>
      </c>
      <c r="H27" s="10"/>
      <c r="I27" s="18">
        <f t="shared" si="4"/>
        <v>20000</v>
      </c>
      <c r="J27" s="18">
        <f t="shared" si="5"/>
        <v>1755005.4333321599</v>
      </c>
      <c r="K27" s="3"/>
    </row>
    <row r="28" spans="1:11" x14ac:dyDescent="0.25">
      <c r="A28" s="3">
        <v>50</v>
      </c>
      <c r="B28" s="6">
        <v>45985</v>
      </c>
      <c r="C28" s="3" t="s">
        <v>48</v>
      </c>
      <c r="D28" s="18">
        <f>Parâmetros!B5</f>
        <v>20000</v>
      </c>
      <c r="E28" s="6"/>
      <c r="F28" s="18"/>
      <c r="G28" s="27">
        <f t="shared" si="3"/>
        <v>1755005.4333321599</v>
      </c>
      <c r="H28" s="10"/>
      <c r="I28" s="18">
        <f t="shared" si="4"/>
        <v>20000</v>
      </c>
      <c r="J28" s="18">
        <f t="shared" si="5"/>
        <v>1735005.4333321599</v>
      </c>
      <c r="K28" s="3"/>
    </row>
    <row r="29" spans="1:11" x14ac:dyDescent="0.25">
      <c r="A29" s="3">
        <v>51</v>
      </c>
      <c r="B29" s="6">
        <v>45989</v>
      </c>
      <c r="C29" s="3" t="s">
        <v>47</v>
      </c>
      <c r="D29" s="18">
        <f>Parâmetros!B5</f>
        <v>20000</v>
      </c>
      <c r="E29" s="6"/>
      <c r="F29" s="18"/>
      <c r="G29" s="28">
        <f t="shared" si="3"/>
        <v>1735005.4333321599</v>
      </c>
      <c r="H29" s="16">
        <v>1.0500000000000001E-2</v>
      </c>
      <c r="I29" s="20">
        <f t="shared" si="4"/>
        <v>20000</v>
      </c>
      <c r="J29" s="18">
        <f t="shared" si="5"/>
        <v>1733012.9903821475</v>
      </c>
      <c r="K29" s="3"/>
    </row>
    <row r="30" spans="1:11" x14ac:dyDescent="0.25">
      <c r="A30" s="3">
        <v>52</v>
      </c>
      <c r="B30" s="6">
        <v>45992</v>
      </c>
      <c r="C30" s="3" t="s">
        <v>48</v>
      </c>
      <c r="D30" s="18">
        <f>Parâmetros!B5</f>
        <v>20000</v>
      </c>
      <c r="E30" s="6"/>
      <c r="F30" s="18"/>
      <c r="G30" s="27">
        <f t="shared" si="3"/>
        <v>1733012.9903821475</v>
      </c>
      <c r="H30" s="10"/>
      <c r="I30" s="18">
        <f t="shared" si="4"/>
        <v>20000</v>
      </c>
      <c r="J30" s="18">
        <f t="shared" si="5"/>
        <v>1713012.9903821475</v>
      </c>
      <c r="K30" s="3"/>
    </row>
    <row r="31" spans="1:11" x14ac:dyDescent="0.25">
      <c r="A31" s="3">
        <v>53</v>
      </c>
      <c r="B31" s="6">
        <v>45996</v>
      </c>
      <c r="C31" s="3" t="s">
        <v>47</v>
      </c>
      <c r="D31" s="18">
        <f>Parâmetros!B5</f>
        <v>20000</v>
      </c>
      <c r="E31" s="6"/>
      <c r="F31" s="18"/>
      <c r="G31" s="27">
        <f t="shared" si="3"/>
        <v>1713012.9903821475</v>
      </c>
      <c r="H31" s="10"/>
      <c r="I31" s="18">
        <f t="shared" si="4"/>
        <v>20000</v>
      </c>
      <c r="J31" s="18">
        <f t="shared" si="5"/>
        <v>1693012.9903821475</v>
      </c>
      <c r="K31" s="3"/>
    </row>
    <row r="32" spans="1:11" x14ac:dyDescent="0.25">
      <c r="A32" s="3">
        <v>54</v>
      </c>
      <c r="B32" s="6">
        <v>45999</v>
      </c>
      <c r="C32" s="3" t="s">
        <v>48</v>
      </c>
      <c r="D32" s="18">
        <f>Parâmetros!B5</f>
        <v>20000</v>
      </c>
      <c r="E32" s="6"/>
      <c r="F32" s="18"/>
      <c r="G32" s="27">
        <f t="shared" si="3"/>
        <v>1693012.9903821475</v>
      </c>
      <c r="H32" s="10"/>
      <c r="I32" s="18">
        <f t="shared" si="4"/>
        <v>20000</v>
      </c>
      <c r="J32" s="18">
        <f t="shared" si="5"/>
        <v>1673012.9903821475</v>
      </c>
      <c r="K32" s="3"/>
    </row>
    <row r="33" spans="1:11" x14ac:dyDescent="0.25">
      <c r="A33" s="3">
        <v>55</v>
      </c>
      <c r="B33" s="6">
        <v>46003</v>
      </c>
      <c r="C33" s="3" t="s">
        <v>47</v>
      </c>
      <c r="D33" s="18">
        <f>Parâmetros!B5</f>
        <v>20000</v>
      </c>
      <c r="E33" s="6"/>
      <c r="F33" s="18"/>
      <c r="G33" s="27">
        <f t="shared" si="3"/>
        <v>1673012.9903821475</v>
      </c>
      <c r="H33" s="10"/>
      <c r="I33" s="18">
        <f t="shared" si="4"/>
        <v>20000</v>
      </c>
      <c r="J33" s="18">
        <f t="shared" si="5"/>
        <v>1653012.9903821475</v>
      </c>
      <c r="K33" s="3"/>
    </row>
    <row r="34" spans="1:11" x14ac:dyDescent="0.25">
      <c r="A34" s="3">
        <v>56</v>
      </c>
      <c r="B34" s="6">
        <v>46006</v>
      </c>
      <c r="C34" s="3" t="s">
        <v>48</v>
      </c>
      <c r="D34" s="18">
        <f>Parâmetros!B5</f>
        <v>20000</v>
      </c>
      <c r="E34" s="6"/>
      <c r="F34" s="18"/>
      <c r="G34" s="27">
        <f t="shared" si="3"/>
        <v>1653012.9903821475</v>
      </c>
      <c r="H34" s="10"/>
      <c r="I34" s="18">
        <f t="shared" si="4"/>
        <v>20000</v>
      </c>
      <c r="J34" s="18">
        <f t="shared" si="5"/>
        <v>1633012.9903821475</v>
      </c>
      <c r="K34" s="3"/>
    </row>
    <row r="35" spans="1:11" x14ac:dyDescent="0.25">
      <c r="A35" s="3">
        <v>57</v>
      </c>
      <c r="B35" s="6">
        <v>46010</v>
      </c>
      <c r="C35" s="3" t="s">
        <v>47</v>
      </c>
      <c r="D35" s="18">
        <f>Parâmetros!B5</f>
        <v>20000</v>
      </c>
      <c r="E35" s="6"/>
      <c r="F35" s="18"/>
      <c r="G35" s="27">
        <f t="shared" si="3"/>
        <v>1633012.9903821475</v>
      </c>
      <c r="H35" s="10"/>
      <c r="I35" s="18">
        <f t="shared" si="4"/>
        <v>20000</v>
      </c>
      <c r="J35" s="18">
        <f t="shared" si="5"/>
        <v>1613012.9903821475</v>
      </c>
      <c r="K35" s="3"/>
    </row>
    <row r="36" spans="1:11" x14ac:dyDescent="0.25">
      <c r="A36" s="3">
        <v>58</v>
      </c>
      <c r="B36" s="6">
        <v>46013</v>
      </c>
      <c r="C36" s="3" t="s">
        <v>48</v>
      </c>
      <c r="D36" s="18">
        <f>Parâmetros!B5</f>
        <v>20000</v>
      </c>
      <c r="E36" s="6"/>
      <c r="F36" s="18"/>
      <c r="G36" s="27">
        <f t="shared" si="3"/>
        <v>1613012.9903821475</v>
      </c>
      <c r="H36" s="10"/>
      <c r="I36" s="18">
        <f t="shared" si="4"/>
        <v>20000</v>
      </c>
      <c r="J36" s="18">
        <f t="shared" si="5"/>
        <v>1593012.9903821475</v>
      </c>
      <c r="K36" s="3"/>
    </row>
    <row r="37" spans="1:11" x14ac:dyDescent="0.25">
      <c r="A37" s="3">
        <v>59</v>
      </c>
      <c r="B37" s="6">
        <v>46017</v>
      </c>
      <c r="C37" s="3" t="s">
        <v>47</v>
      </c>
      <c r="D37" s="18">
        <f>Parâmetros!B5</f>
        <v>20000</v>
      </c>
      <c r="E37" s="6"/>
      <c r="F37" s="18"/>
      <c r="G37" s="27">
        <f t="shared" si="3"/>
        <v>1593012.9903821475</v>
      </c>
      <c r="H37" s="10"/>
      <c r="I37" s="18">
        <f t="shared" si="4"/>
        <v>20000</v>
      </c>
      <c r="J37" s="18">
        <f t="shared" si="5"/>
        <v>1573012.9903821475</v>
      </c>
      <c r="K37" s="3"/>
    </row>
    <row r="38" spans="1:11" x14ac:dyDescent="0.25">
      <c r="A38" s="3">
        <v>60</v>
      </c>
      <c r="B38" s="6">
        <v>46020</v>
      </c>
      <c r="C38" s="3" t="s">
        <v>48</v>
      </c>
      <c r="D38" s="18">
        <f>Parâmetros!B5</f>
        <v>20000</v>
      </c>
      <c r="E38" s="6"/>
      <c r="F38" s="18"/>
      <c r="G38" s="28">
        <f t="shared" si="3"/>
        <v>1573012.9903821475</v>
      </c>
      <c r="H38" s="16">
        <v>1.2200000000000001E-2</v>
      </c>
      <c r="I38" s="20">
        <f t="shared" si="4"/>
        <v>20000</v>
      </c>
      <c r="J38" s="18">
        <f t="shared" si="5"/>
        <v>1571959.7488648097</v>
      </c>
      <c r="K38" s="3"/>
    </row>
    <row r="39" spans="1:11" x14ac:dyDescent="0.25">
      <c r="A39" s="3">
        <v>61</v>
      </c>
      <c r="B39" s="6">
        <v>46024</v>
      </c>
      <c r="C39" s="3" t="s">
        <v>47</v>
      </c>
      <c r="D39" s="18">
        <f>Parâmetros!B5</f>
        <v>20000</v>
      </c>
      <c r="E39" s="6"/>
      <c r="F39" s="18"/>
      <c r="G39" s="27">
        <f t="shared" si="3"/>
        <v>1571959.7488648097</v>
      </c>
      <c r="H39" s="10"/>
      <c r="I39" s="18">
        <f t="shared" si="4"/>
        <v>20000</v>
      </c>
      <c r="J39" s="18">
        <f t="shared" si="5"/>
        <v>1551959.7488648097</v>
      </c>
      <c r="K39" s="3"/>
    </row>
    <row r="40" spans="1:11" x14ac:dyDescent="0.25">
      <c r="A40" s="3">
        <v>62</v>
      </c>
      <c r="B40" s="6">
        <v>46027</v>
      </c>
      <c r="C40" s="3" t="s">
        <v>48</v>
      </c>
      <c r="D40" s="18">
        <f>Parâmetros!B5</f>
        <v>20000</v>
      </c>
      <c r="E40" s="6"/>
      <c r="F40" s="18"/>
      <c r="G40" s="27">
        <f t="shared" si="3"/>
        <v>1551959.7488648097</v>
      </c>
      <c r="H40" s="10"/>
      <c r="I40" s="18">
        <f t="shared" si="4"/>
        <v>20000</v>
      </c>
      <c r="J40" s="18">
        <f t="shared" si="5"/>
        <v>1531959.7488648097</v>
      </c>
      <c r="K40" s="3"/>
    </row>
    <row r="41" spans="1:11" x14ac:dyDescent="0.25">
      <c r="A41" s="3">
        <v>63</v>
      </c>
      <c r="B41" s="6">
        <v>46031</v>
      </c>
      <c r="C41" s="3" t="s">
        <v>47</v>
      </c>
      <c r="D41" s="18">
        <f>Parâmetros!B5</f>
        <v>20000</v>
      </c>
      <c r="E41" s="6"/>
      <c r="F41" s="18"/>
      <c r="G41" s="27">
        <f t="shared" si="3"/>
        <v>1531959.7488648097</v>
      </c>
      <c r="H41" s="10"/>
      <c r="I41" s="18">
        <f t="shared" si="4"/>
        <v>20000</v>
      </c>
      <c r="J41" s="18">
        <f t="shared" si="5"/>
        <v>1511959.7488648097</v>
      </c>
      <c r="K41" s="3"/>
    </row>
    <row r="42" spans="1:11" x14ac:dyDescent="0.25">
      <c r="A42" s="3">
        <v>64</v>
      </c>
      <c r="B42" s="6">
        <v>46034</v>
      </c>
      <c r="C42" s="3" t="s">
        <v>48</v>
      </c>
      <c r="D42" s="18">
        <f>Parâmetros!B5</f>
        <v>20000</v>
      </c>
      <c r="E42" s="6"/>
      <c r="F42" s="18"/>
      <c r="G42" s="27">
        <f t="shared" si="3"/>
        <v>1511959.7488648097</v>
      </c>
      <c r="H42" s="10"/>
      <c r="I42" s="18">
        <f t="shared" si="4"/>
        <v>20000</v>
      </c>
      <c r="J42" s="18">
        <f t="shared" si="5"/>
        <v>1491959.7488648097</v>
      </c>
      <c r="K42" s="3"/>
    </row>
    <row r="43" spans="1:11" x14ac:dyDescent="0.25">
      <c r="A43" s="3">
        <v>65</v>
      </c>
      <c r="B43" s="6">
        <v>46038</v>
      </c>
      <c r="C43" s="3" t="s">
        <v>47</v>
      </c>
      <c r="D43" s="18">
        <f>Parâmetros!B5</f>
        <v>20000</v>
      </c>
      <c r="E43" s="6"/>
      <c r="F43" s="18"/>
      <c r="G43" s="27">
        <f t="shared" ref="G43:G70" si="6">J42</f>
        <v>1491959.7488648097</v>
      </c>
      <c r="H43" s="10"/>
      <c r="I43" s="18">
        <f t="shared" ref="I43:I69" si="7">MIN(D43,G43)</f>
        <v>20000</v>
      </c>
      <c r="J43" s="18">
        <f t="shared" si="5"/>
        <v>1471959.7488648097</v>
      </c>
      <c r="K43" s="3"/>
    </row>
    <row r="44" spans="1:11" x14ac:dyDescent="0.25">
      <c r="A44" s="3">
        <v>66</v>
      </c>
      <c r="B44" s="6">
        <v>46041</v>
      </c>
      <c r="C44" s="3" t="s">
        <v>48</v>
      </c>
      <c r="D44" s="18">
        <f>Parâmetros!B5</f>
        <v>20000</v>
      </c>
      <c r="E44" s="6"/>
      <c r="F44" s="18"/>
      <c r="G44" s="27">
        <f t="shared" si="6"/>
        <v>1471959.7488648097</v>
      </c>
      <c r="H44" s="10"/>
      <c r="I44" s="18">
        <f t="shared" si="7"/>
        <v>20000</v>
      </c>
      <c r="J44" s="18">
        <f t="shared" si="5"/>
        <v>1451959.7488648097</v>
      </c>
      <c r="K44" s="3"/>
    </row>
    <row r="45" spans="1:11" x14ac:dyDescent="0.25">
      <c r="A45" s="3">
        <v>67</v>
      </c>
      <c r="B45" s="6">
        <v>46045</v>
      </c>
      <c r="C45" s="3" t="s">
        <v>47</v>
      </c>
      <c r="D45" s="18">
        <f>Parâmetros!B5</f>
        <v>20000</v>
      </c>
      <c r="E45" s="6"/>
      <c r="F45" s="18"/>
      <c r="G45" s="27">
        <f t="shared" si="6"/>
        <v>1451959.7488648097</v>
      </c>
      <c r="H45" s="10"/>
      <c r="I45" s="18">
        <f t="shared" si="7"/>
        <v>20000</v>
      </c>
      <c r="J45" s="18">
        <f t="shared" si="5"/>
        <v>1431959.7488648097</v>
      </c>
      <c r="K45" s="3"/>
    </row>
    <row r="46" spans="1:11" x14ac:dyDescent="0.25">
      <c r="A46" s="3">
        <v>68</v>
      </c>
      <c r="B46" s="6">
        <v>46048</v>
      </c>
      <c r="C46" s="3" t="s">
        <v>48</v>
      </c>
      <c r="D46" s="18">
        <f>Parâmetros!B5</f>
        <v>20000</v>
      </c>
      <c r="E46" s="6"/>
      <c r="F46" s="18"/>
      <c r="G46" s="27">
        <f t="shared" si="6"/>
        <v>1431959.7488648097</v>
      </c>
      <c r="H46" s="10"/>
      <c r="I46" s="18">
        <f t="shared" si="7"/>
        <v>20000</v>
      </c>
      <c r="J46" s="18">
        <f t="shared" si="5"/>
        <v>1411959.7488648097</v>
      </c>
      <c r="K46" s="3"/>
    </row>
    <row r="47" spans="1:11" x14ac:dyDescent="0.25">
      <c r="A47" s="3">
        <v>69</v>
      </c>
      <c r="B47" s="6">
        <v>46052</v>
      </c>
      <c r="C47" s="3" t="s">
        <v>47</v>
      </c>
      <c r="D47" s="18">
        <f>Parâmetros!B5</f>
        <v>20000</v>
      </c>
      <c r="E47" s="6"/>
      <c r="F47" s="18"/>
      <c r="G47" s="28">
        <f t="shared" si="6"/>
        <v>1411959.7488648097</v>
      </c>
      <c r="H47" s="16">
        <v>1.1599999999999999E-2</v>
      </c>
      <c r="I47" s="20">
        <f t="shared" si="7"/>
        <v>20000</v>
      </c>
      <c r="J47" s="18">
        <f t="shared" si="5"/>
        <v>1408106.4819516416</v>
      </c>
      <c r="K47" s="3"/>
    </row>
    <row r="48" spans="1:11" x14ac:dyDescent="0.25">
      <c r="A48" s="3">
        <v>70</v>
      </c>
      <c r="B48" s="6">
        <v>46055</v>
      </c>
      <c r="C48" s="3" t="s">
        <v>48</v>
      </c>
      <c r="D48" s="18">
        <f>Parâmetros!B5</f>
        <v>20000</v>
      </c>
      <c r="E48" s="6"/>
      <c r="F48" s="18"/>
      <c r="G48" s="27">
        <f t="shared" si="6"/>
        <v>1408106.4819516416</v>
      </c>
      <c r="H48" s="10"/>
      <c r="I48" s="18">
        <f t="shared" si="7"/>
        <v>20000</v>
      </c>
      <c r="J48" s="18">
        <f t="shared" si="5"/>
        <v>1388106.4819516416</v>
      </c>
      <c r="K48" s="3"/>
    </row>
    <row r="49" spans="1:11" x14ac:dyDescent="0.25">
      <c r="A49" s="3">
        <v>71</v>
      </c>
      <c r="B49" s="6">
        <v>46059</v>
      </c>
      <c r="C49" s="3" t="s">
        <v>47</v>
      </c>
      <c r="D49" s="18">
        <f>Parâmetros!B5</f>
        <v>20000</v>
      </c>
      <c r="E49" s="6"/>
      <c r="F49" s="18"/>
      <c r="G49" s="27">
        <f t="shared" si="6"/>
        <v>1388106.4819516416</v>
      </c>
      <c r="H49" s="10"/>
      <c r="I49" s="18">
        <f t="shared" si="7"/>
        <v>20000</v>
      </c>
      <c r="J49" s="18">
        <f t="shared" si="5"/>
        <v>1368106.4819516416</v>
      </c>
      <c r="K49" s="3"/>
    </row>
    <row r="50" spans="1:11" x14ac:dyDescent="0.25">
      <c r="A50" s="3">
        <v>72</v>
      </c>
      <c r="B50" s="6">
        <v>46062</v>
      </c>
      <c r="C50" s="3" t="s">
        <v>48</v>
      </c>
      <c r="D50" s="18">
        <f>Parâmetros!B5</f>
        <v>20000</v>
      </c>
      <c r="E50" s="6"/>
      <c r="F50" s="18"/>
      <c r="G50" s="27">
        <f t="shared" si="6"/>
        <v>1368106.4819516416</v>
      </c>
      <c r="H50" s="10"/>
      <c r="I50" s="18">
        <f t="shared" si="7"/>
        <v>20000</v>
      </c>
      <c r="J50" s="18">
        <f t="shared" si="5"/>
        <v>1348106.4819516416</v>
      </c>
      <c r="K50" s="3"/>
    </row>
    <row r="51" spans="1:11" x14ac:dyDescent="0.25">
      <c r="A51" s="3">
        <v>73</v>
      </c>
      <c r="B51" s="6">
        <v>46066</v>
      </c>
      <c r="C51" s="3" t="s">
        <v>47</v>
      </c>
      <c r="D51" s="18">
        <f>Parâmetros!B5</f>
        <v>20000</v>
      </c>
      <c r="E51" s="6"/>
      <c r="F51" s="18"/>
      <c r="G51" s="27">
        <f t="shared" si="6"/>
        <v>1348106.4819516416</v>
      </c>
      <c r="H51" s="10"/>
      <c r="I51" s="18">
        <f t="shared" si="7"/>
        <v>20000</v>
      </c>
      <c r="J51" s="18">
        <f t="shared" si="5"/>
        <v>1328106.4819516416</v>
      </c>
      <c r="K51" s="3"/>
    </row>
    <row r="52" spans="1:11" x14ac:dyDescent="0.25">
      <c r="A52" s="3">
        <v>74</v>
      </c>
      <c r="B52" s="6">
        <v>46069</v>
      </c>
      <c r="C52" s="3" t="s">
        <v>48</v>
      </c>
      <c r="D52" s="18">
        <f>Parâmetros!B5</f>
        <v>20000</v>
      </c>
      <c r="E52" s="6"/>
      <c r="F52" s="18"/>
      <c r="G52" s="27">
        <f t="shared" si="6"/>
        <v>1328106.4819516416</v>
      </c>
      <c r="H52" s="10"/>
      <c r="I52" s="18">
        <f t="shared" si="7"/>
        <v>20000</v>
      </c>
      <c r="J52" s="18">
        <f t="shared" si="5"/>
        <v>1308106.4819516416</v>
      </c>
      <c r="K52" s="3"/>
    </row>
    <row r="53" spans="1:11" x14ac:dyDescent="0.25">
      <c r="A53" s="3">
        <v>75</v>
      </c>
      <c r="B53" s="6">
        <v>46073</v>
      </c>
      <c r="C53" s="3" t="s">
        <v>47</v>
      </c>
      <c r="D53" s="18">
        <f>Parâmetros!B5</f>
        <v>20000</v>
      </c>
      <c r="E53" s="6"/>
      <c r="F53" s="18"/>
      <c r="G53" s="27">
        <f t="shared" si="6"/>
        <v>1308106.4819516416</v>
      </c>
      <c r="H53" s="10"/>
      <c r="I53" s="18">
        <f t="shared" si="7"/>
        <v>20000</v>
      </c>
      <c r="J53" s="18">
        <f t="shared" si="5"/>
        <v>1288106.4819516416</v>
      </c>
      <c r="K53" s="3"/>
    </row>
    <row r="54" spans="1:11" x14ac:dyDescent="0.25">
      <c r="A54" s="3">
        <v>76</v>
      </c>
      <c r="B54" s="6">
        <v>46076</v>
      </c>
      <c r="C54" s="3" t="s">
        <v>48</v>
      </c>
      <c r="D54" s="18">
        <f>Parâmetros!B5</f>
        <v>20000</v>
      </c>
      <c r="E54" s="6"/>
      <c r="F54" s="18"/>
      <c r="G54" s="27">
        <f t="shared" si="6"/>
        <v>1288106.4819516416</v>
      </c>
      <c r="H54" s="10"/>
      <c r="I54" s="18">
        <f t="shared" si="7"/>
        <v>20000</v>
      </c>
      <c r="J54" s="18">
        <f t="shared" si="5"/>
        <v>1268106.4819516416</v>
      </c>
      <c r="K54" s="3"/>
    </row>
    <row r="55" spans="1:11" x14ac:dyDescent="0.25">
      <c r="A55" s="3">
        <v>77</v>
      </c>
      <c r="B55" s="6">
        <v>46080</v>
      </c>
      <c r="C55" s="3" t="s">
        <v>47</v>
      </c>
      <c r="D55" s="18">
        <f>Parâmetros!B5</f>
        <v>20000</v>
      </c>
      <c r="E55" s="6"/>
      <c r="F55" s="18"/>
      <c r="G55" s="28">
        <f t="shared" si="6"/>
        <v>1268106.4819516416</v>
      </c>
      <c r="H55" s="16">
        <v>1.15E-2</v>
      </c>
      <c r="I55" s="20">
        <f t="shared" si="7"/>
        <v>20000</v>
      </c>
      <c r="J55" s="18">
        <f t="shared" si="5"/>
        <v>1262459.7064940855</v>
      </c>
      <c r="K55" s="3"/>
    </row>
    <row r="56" spans="1:11" x14ac:dyDescent="0.25">
      <c r="A56" s="3">
        <v>78</v>
      </c>
      <c r="B56" s="6">
        <v>46083</v>
      </c>
      <c r="C56" s="3" t="s">
        <v>48</v>
      </c>
      <c r="D56" s="18">
        <f>Parâmetros!B5</f>
        <v>20000</v>
      </c>
      <c r="E56" s="6"/>
      <c r="F56" s="18"/>
      <c r="G56" s="27">
        <f t="shared" si="6"/>
        <v>1262459.7064940855</v>
      </c>
      <c r="H56" s="10"/>
      <c r="I56" s="18">
        <f t="shared" si="7"/>
        <v>20000</v>
      </c>
      <c r="J56" s="18">
        <f t="shared" si="5"/>
        <v>1242459.7064940855</v>
      </c>
      <c r="K56" s="3"/>
    </row>
    <row r="57" spans="1:11" x14ac:dyDescent="0.25">
      <c r="A57" s="3">
        <v>79</v>
      </c>
      <c r="B57" s="6">
        <v>46087</v>
      </c>
      <c r="C57" s="3" t="s">
        <v>47</v>
      </c>
      <c r="D57" s="18">
        <f>Parâmetros!B5</f>
        <v>20000</v>
      </c>
      <c r="E57" s="6"/>
      <c r="F57" s="18"/>
      <c r="G57" s="27">
        <f t="shared" si="6"/>
        <v>1242459.7064940855</v>
      </c>
      <c r="H57" s="10"/>
      <c r="I57" s="18">
        <f t="shared" si="7"/>
        <v>20000</v>
      </c>
      <c r="J57" s="18">
        <f t="shared" si="5"/>
        <v>1222459.7064940855</v>
      </c>
      <c r="K57" s="3"/>
    </row>
    <row r="58" spans="1:11" x14ac:dyDescent="0.25">
      <c r="A58" s="3">
        <v>80</v>
      </c>
      <c r="B58" s="6">
        <v>46090</v>
      </c>
      <c r="C58" s="3" t="s">
        <v>48</v>
      </c>
      <c r="D58" s="18">
        <f>Parâmetros!B5</f>
        <v>20000</v>
      </c>
      <c r="E58" s="6"/>
      <c r="F58" s="18"/>
      <c r="G58" s="27">
        <f t="shared" si="6"/>
        <v>1222459.7064940855</v>
      </c>
      <c r="H58" s="10"/>
      <c r="I58" s="18">
        <f t="shared" si="7"/>
        <v>20000</v>
      </c>
      <c r="J58" s="18">
        <f t="shared" si="5"/>
        <v>1202459.7064940855</v>
      </c>
      <c r="K58" s="3"/>
    </row>
    <row r="59" spans="1:11" x14ac:dyDescent="0.25">
      <c r="A59" s="3">
        <v>81</v>
      </c>
      <c r="B59" s="6">
        <v>46094</v>
      </c>
      <c r="C59" s="3" t="s">
        <v>47</v>
      </c>
      <c r="D59" s="18">
        <f>Parâmetros!B5</f>
        <v>20000</v>
      </c>
      <c r="E59" s="6"/>
      <c r="F59" s="18"/>
      <c r="G59" s="27">
        <f t="shared" si="6"/>
        <v>1202459.7064940855</v>
      </c>
      <c r="H59" s="10"/>
      <c r="I59" s="18">
        <f t="shared" si="7"/>
        <v>20000</v>
      </c>
      <c r="J59" s="18">
        <f t="shared" si="5"/>
        <v>1182459.7064940855</v>
      </c>
      <c r="K59" s="3"/>
    </row>
    <row r="60" spans="1:11" x14ac:dyDescent="0.25">
      <c r="A60" s="3">
        <v>82</v>
      </c>
      <c r="B60" s="6">
        <v>46097</v>
      </c>
      <c r="C60" s="3" t="s">
        <v>48</v>
      </c>
      <c r="D60" s="18">
        <f>Parâmetros!B5</f>
        <v>20000</v>
      </c>
      <c r="E60" s="6"/>
      <c r="F60" s="18"/>
      <c r="G60" s="27">
        <f t="shared" si="6"/>
        <v>1182459.7064940855</v>
      </c>
      <c r="H60" s="10"/>
      <c r="I60" s="18">
        <f t="shared" si="7"/>
        <v>20000</v>
      </c>
      <c r="J60" s="18">
        <f t="shared" si="5"/>
        <v>1162459.7064940855</v>
      </c>
      <c r="K60" s="3"/>
    </row>
    <row r="61" spans="1:11" x14ac:dyDescent="0.25">
      <c r="A61" s="3">
        <v>83</v>
      </c>
      <c r="B61" s="6">
        <v>46101</v>
      </c>
      <c r="C61" s="3" t="s">
        <v>47</v>
      </c>
      <c r="D61" s="18">
        <f>Parâmetros!B5</f>
        <v>20000</v>
      </c>
      <c r="E61" s="6"/>
      <c r="F61" s="18"/>
      <c r="G61" s="27">
        <f t="shared" si="6"/>
        <v>1162459.7064940855</v>
      </c>
      <c r="H61" s="10"/>
      <c r="I61" s="18">
        <f t="shared" si="7"/>
        <v>20000</v>
      </c>
      <c r="J61" s="18">
        <f t="shared" si="5"/>
        <v>1142459.7064940855</v>
      </c>
      <c r="K61" s="3"/>
    </row>
    <row r="62" spans="1:11" x14ac:dyDescent="0.25">
      <c r="A62" s="3">
        <v>84</v>
      </c>
      <c r="B62" s="6">
        <v>46104</v>
      </c>
      <c r="C62" s="3" t="s">
        <v>48</v>
      </c>
      <c r="D62" s="18">
        <f>Parâmetros!B5</f>
        <v>20000</v>
      </c>
      <c r="E62" s="6"/>
      <c r="F62" s="18"/>
      <c r="G62" s="27">
        <f t="shared" si="6"/>
        <v>1142459.7064940855</v>
      </c>
      <c r="H62" s="10"/>
      <c r="I62" s="18">
        <f t="shared" si="7"/>
        <v>20000</v>
      </c>
      <c r="J62" s="18">
        <f t="shared" si="5"/>
        <v>1122459.7064940855</v>
      </c>
      <c r="K62" s="3"/>
    </row>
    <row r="63" spans="1:11" x14ac:dyDescent="0.25">
      <c r="A63" s="3">
        <v>85</v>
      </c>
      <c r="B63" s="6">
        <v>46108</v>
      </c>
      <c r="C63" s="3" t="s">
        <v>47</v>
      </c>
      <c r="D63" s="18">
        <f>Parâmetros!B5</f>
        <v>20000</v>
      </c>
      <c r="E63" s="6"/>
      <c r="F63" s="18"/>
      <c r="G63" s="27">
        <f t="shared" si="6"/>
        <v>1122459.7064940855</v>
      </c>
      <c r="H63" s="10"/>
      <c r="I63" s="18">
        <f t="shared" si="7"/>
        <v>20000</v>
      </c>
      <c r="J63" s="18">
        <f t="shared" si="5"/>
        <v>1102459.7064940855</v>
      </c>
      <c r="K63" s="3"/>
    </row>
    <row r="64" spans="1:11" x14ac:dyDescent="0.25">
      <c r="A64" s="3">
        <v>86</v>
      </c>
      <c r="B64" s="6">
        <v>46111</v>
      </c>
      <c r="C64" s="3" t="s">
        <v>48</v>
      </c>
      <c r="D64" s="18">
        <f>Parâmetros!B5</f>
        <v>20000</v>
      </c>
      <c r="E64" s="6"/>
      <c r="F64" s="18"/>
      <c r="G64" s="28">
        <f t="shared" si="6"/>
        <v>1102459.7064940855</v>
      </c>
      <c r="H64" s="16">
        <v>1.7899999999999999E-2</v>
      </c>
      <c r="I64" s="20">
        <f t="shared" si="7"/>
        <v>20000</v>
      </c>
      <c r="J64" s="18">
        <f t="shared" si="5"/>
        <v>1101835.7352403295</v>
      </c>
      <c r="K64" s="3"/>
    </row>
    <row r="65" spans="1:11" x14ac:dyDescent="0.25">
      <c r="A65" s="3">
        <v>87</v>
      </c>
      <c r="B65" s="6">
        <v>46115</v>
      </c>
      <c r="C65" s="3" t="s">
        <v>47</v>
      </c>
      <c r="D65" s="18">
        <f>Parâmetros!B5</f>
        <v>20000</v>
      </c>
      <c r="E65" s="6"/>
      <c r="F65" s="18"/>
      <c r="G65" s="27">
        <f t="shared" si="6"/>
        <v>1101835.7352403295</v>
      </c>
      <c r="H65" s="10"/>
      <c r="I65" s="18">
        <f t="shared" si="7"/>
        <v>20000</v>
      </c>
      <c r="J65" s="18">
        <f t="shared" si="5"/>
        <v>1081835.7352403295</v>
      </c>
      <c r="K65" s="3"/>
    </row>
    <row r="66" spans="1:11" x14ac:dyDescent="0.25">
      <c r="A66" s="3">
        <v>88</v>
      </c>
      <c r="B66" s="6">
        <v>46118</v>
      </c>
      <c r="C66" s="3" t="s">
        <v>48</v>
      </c>
      <c r="D66" s="18">
        <f>Parâmetros!B5</f>
        <v>20000</v>
      </c>
      <c r="E66" s="6"/>
      <c r="F66" s="18"/>
      <c r="G66" s="27">
        <f t="shared" si="6"/>
        <v>1081835.7352403295</v>
      </c>
      <c r="H66" s="10"/>
      <c r="I66" s="18">
        <f t="shared" si="7"/>
        <v>20000</v>
      </c>
      <c r="J66" s="18">
        <f t="shared" si="5"/>
        <v>1061835.7352403295</v>
      </c>
      <c r="K66" s="3"/>
    </row>
    <row r="67" spans="1:11" x14ac:dyDescent="0.25">
      <c r="A67" s="3">
        <v>89</v>
      </c>
      <c r="B67" s="6">
        <v>46122</v>
      </c>
      <c r="C67" s="3" t="s">
        <v>47</v>
      </c>
      <c r="D67" s="18">
        <f>Parâmetros!B5</f>
        <v>20000</v>
      </c>
      <c r="E67" s="6"/>
      <c r="F67" s="18"/>
      <c r="G67" s="27">
        <f t="shared" si="6"/>
        <v>1061835.7352403295</v>
      </c>
      <c r="H67" s="10"/>
      <c r="I67" s="18">
        <f t="shared" si="7"/>
        <v>20000</v>
      </c>
      <c r="J67" s="18">
        <f t="shared" si="5"/>
        <v>1041835.7352403295</v>
      </c>
      <c r="K67" s="3"/>
    </row>
    <row r="68" spans="1:11" x14ac:dyDescent="0.25">
      <c r="A68" s="3">
        <v>90</v>
      </c>
      <c r="B68" s="6">
        <v>46125</v>
      </c>
      <c r="C68" s="3" t="s">
        <v>48</v>
      </c>
      <c r="D68" s="18">
        <f>Parâmetros!B5</f>
        <v>20000</v>
      </c>
      <c r="E68" s="6"/>
      <c r="F68" s="18"/>
      <c r="G68" s="27">
        <f t="shared" si="6"/>
        <v>1041835.7352403295</v>
      </c>
      <c r="H68" s="10"/>
      <c r="I68" s="18">
        <f t="shared" si="7"/>
        <v>20000</v>
      </c>
      <c r="J68" s="18">
        <f t="shared" si="5"/>
        <v>1021835.7352403295</v>
      </c>
      <c r="K68" s="3"/>
    </row>
    <row r="69" spans="1:11" x14ac:dyDescent="0.25">
      <c r="A69" s="3">
        <v>91</v>
      </c>
      <c r="B69" s="6">
        <v>46129</v>
      </c>
      <c r="C69" s="3" t="s">
        <v>47</v>
      </c>
      <c r="D69" s="18">
        <f>Parâmetros!B5</f>
        <v>20000</v>
      </c>
      <c r="E69" s="6"/>
      <c r="F69" s="18"/>
      <c r="G69" s="27">
        <f t="shared" si="6"/>
        <v>1021835.7352403295</v>
      </c>
      <c r="H69" s="10"/>
      <c r="I69" s="18">
        <f t="shared" si="7"/>
        <v>20000</v>
      </c>
      <c r="J69" s="18">
        <f t="shared" si="5"/>
        <v>1001835.7352403295</v>
      </c>
      <c r="K69" s="3"/>
    </row>
    <row r="70" spans="1:11" x14ac:dyDescent="0.25">
      <c r="A70" s="3">
        <v>92</v>
      </c>
      <c r="B70" s="6">
        <v>46132</v>
      </c>
      <c r="C70" s="3" t="s">
        <v>48</v>
      </c>
      <c r="D70" s="18">
        <f>Parâmetros!B5</f>
        <v>20000</v>
      </c>
      <c r="E70" s="6"/>
      <c r="F70" s="18"/>
      <c r="G70" s="27">
        <f t="shared" si="6"/>
        <v>1001835.7352403295</v>
      </c>
      <c r="H70" s="10"/>
      <c r="I70" s="18">
        <f t="shared" ref="I70:I128" si="8">MIN(D70,G70)</f>
        <v>20000</v>
      </c>
      <c r="J70" s="18">
        <f t="shared" si="5"/>
        <v>981835.73524032952</v>
      </c>
      <c r="K70" s="3"/>
    </row>
    <row r="71" spans="1:11" x14ac:dyDescent="0.25">
      <c r="A71" s="3">
        <v>93</v>
      </c>
      <c r="B71" s="6">
        <v>46136</v>
      </c>
      <c r="C71" s="3" t="s">
        <v>47</v>
      </c>
      <c r="D71" s="18">
        <f>Parâmetros!B5</f>
        <v>20000</v>
      </c>
      <c r="E71" s="6"/>
      <c r="F71" s="18"/>
      <c r="G71" s="27">
        <f t="shared" ref="G71:G128" si="9">J70</f>
        <v>981835.73524032952</v>
      </c>
      <c r="H71" s="10"/>
      <c r="I71" s="18">
        <f t="shared" si="8"/>
        <v>20000</v>
      </c>
      <c r="J71" s="18">
        <f t="shared" si="5"/>
        <v>961835.73524032952</v>
      </c>
      <c r="K71" s="3"/>
    </row>
    <row r="72" spans="1:11" x14ac:dyDescent="0.25">
      <c r="A72" s="3">
        <v>94</v>
      </c>
      <c r="B72" s="6">
        <v>46139</v>
      </c>
      <c r="C72" s="3" t="s">
        <v>48</v>
      </c>
      <c r="D72" s="18">
        <f>Parâmetros!B5</f>
        <v>20000</v>
      </c>
      <c r="E72" s="6"/>
      <c r="F72" s="18"/>
      <c r="G72" s="28">
        <f t="shared" si="9"/>
        <v>961835.73524032952</v>
      </c>
      <c r="H72" s="16">
        <v>1.67E-2</v>
      </c>
      <c r="I72" s="20">
        <f t="shared" si="8"/>
        <v>20000</v>
      </c>
      <c r="J72" s="18">
        <f t="shared" si="5"/>
        <v>957564.39201884298</v>
      </c>
      <c r="K72" s="3"/>
    </row>
    <row r="73" spans="1:11" x14ac:dyDescent="0.25">
      <c r="A73" s="3">
        <v>95</v>
      </c>
      <c r="B73" s="6">
        <v>46143</v>
      </c>
      <c r="C73" s="3" t="s">
        <v>47</v>
      </c>
      <c r="D73" s="18">
        <f>Parâmetros!B5</f>
        <v>20000</v>
      </c>
      <c r="E73" s="6"/>
      <c r="F73" s="18"/>
      <c r="G73" s="27">
        <f t="shared" si="9"/>
        <v>957564.39201884298</v>
      </c>
      <c r="H73" s="10"/>
      <c r="I73" s="18">
        <f t="shared" si="8"/>
        <v>20000</v>
      </c>
      <c r="J73" s="18">
        <f t="shared" si="5"/>
        <v>937564.39201884298</v>
      </c>
      <c r="K73" s="3"/>
    </row>
    <row r="74" spans="1:11" x14ac:dyDescent="0.25">
      <c r="A74" s="3">
        <v>96</v>
      </c>
      <c r="B74" s="6">
        <v>46146</v>
      </c>
      <c r="C74" s="3" t="s">
        <v>48</v>
      </c>
      <c r="D74" s="18">
        <f>Parâmetros!B5</f>
        <v>20000</v>
      </c>
      <c r="E74" s="6"/>
      <c r="F74" s="18"/>
      <c r="G74" s="27">
        <f t="shared" si="9"/>
        <v>937564.39201884298</v>
      </c>
      <c r="H74" s="10"/>
      <c r="I74" s="18">
        <f t="shared" si="8"/>
        <v>20000</v>
      </c>
      <c r="J74" s="18">
        <f t="shared" si="5"/>
        <v>917564.39201884298</v>
      </c>
      <c r="K74" s="3"/>
    </row>
    <row r="75" spans="1:11" x14ac:dyDescent="0.25">
      <c r="A75" s="3">
        <v>97</v>
      </c>
      <c r="B75" s="6">
        <v>46150</v>
      </c>
      <c r="C75" s="3" t="s">
        <v>47</v>
      </c>
      <c r="D75" s="18">
        <f>Parâmetros!B5</f>
        <v>20000</v>
      </c>
      <c r="E75" s="6"/>
      <c r="F75" s="18"/>
      <c r="G75" s="27">
        <f t="shared" si="9"/>
        <v>917564.39201884298</v>
      </c>
      <c r="H75" s="10"/>
      <c r="I75" s="18">
        <f t="shared" si="8"/>
        <v>20000</v>
      </c>
      <c r="J75" s="18">
        <f t="shared" si="5"/>
        <v>897564.39201884298</v>
      </c>
      <c r="K75" s="3"/>
    </row>
    <row r="76" spans="1:11" x14ac:dyDescent="0.25">
      <c r="A76" s="3">
        <v>98</v>
      </c>
      <c r="B76" s="6">
        <v>46153</v>
      </c>
      <c r="C76" s="3" t="s">
        <v>48</v>
      </c>
      <c r="D76" s="18">
        <f>Parâmetros!B5</f>
        <v>20000</v>
      </c>
      <c r="E76" s="6"/>
      <c r="F76" s="18"/>
      <c r="G76" s="27">
        <f t="shared" si="9"/>
        <v>897564.39201884298</v>
      </c>
      <c r="H76" s="10"/>
      <c r="I76" s="18">
        <f t="shared" si="8"/>
        <v>20000</v>
      </c>
      <c r="J76" s="18">
        <f t="shared" si="5"/>
        <v>877564.39201884298</v>
      </c>
      <c r="K76" s="3"/>
    </row>
    <row r="77" spans="1:11" x14ac:dyDescent="0.25">
      <c r="A77" s="3">
        <v>99</v>
      </c>
      <c r="B77" s="6">
        <v>46157</v>
      </c>
      <c r="C77" s="3" t="s">
        <v>47</v>
      </c>
      <c r="D77" s="18">
        <f>Parâmetros!B5</f>
        <v>20000</v>
      </c>
      <c r="E77" s="6"/>
      <c r="F77" s="18"/>
      <c r="G77" s="27">
        <f t="shared" si="9"/>
        <v>877564.39201884298</v>
      </c>
      <c r="H77" s="10"/>
      <c r="I77" s="18">
        <f t="shared" si="8"/>
        <v>20000</v>
      </c>
      <c r="J77" s="18">
        <f t="shared" si="5"/>
        <v>857564.39201884298</v>
      </c>
      <c r="K77" s="3"/>
    </row>
    <row r="78" spans="1:11" x14ac:dyDescent="0.25">
      <c r="A78" s="3">
        <v>100</v>
      </c>
      <c r="B78" s="6">
        <v>46160</v>
      </c>
      <c r="C78" s="3" t="s">
        <v>48</v>
      </c>
      <c r="D78" s="18">
        <f>Parâmetros!B5</f>
        <v>20000</v>
      </c>
      <c r="E78" s="6"/>
      <c r="F78" s="18"/>
      <c r="G78" s="27">
        <f t="shared" si="9"/>
        <v>857564.39201884298</v>
      </c>
      <c r="H78" s="10"/>
      <c r="I78" s="18">
        <f t="shared" si="8"/>
        <v>20000</v>
      </c>
      <c r="J78" s="18">
        <f t="shared" ref="J78:J123" si="10">SUM(G78-I78)*H78+(G78-I78)</f>
        <v>837564.39201884298</v>
      </c>
      <c r="K78" s="3"/>
    </row>
    <row r="79" spans="1:11" x14ac:dyDescent="0.25">
      <c r="A79" s="3">
        <v>101</v>
      </c>
      <c r="B79" s="6">
        <v>46164</v>
      </c>
      <c r="C79" s="3" t="s">
        <v>47</v>
      </c>
      <c r="D79" s="18">
        <f>Parâmetros!B5</f>
        <v>20000</v>
      </c>
      <c r="E79" s="6"/>
      <c r="F79" s="18"/>
      <c r="G79" s="27">
        <f t="shared" si="9"/>
        <v>837564.39201884298</v>
      </c>
      <c r="H79" s="10"/>
      <c r="I79" s="18">
        <f t="shared" si="8"/>
        <v>20000</v>
      </c>
      <c r="J79" s="18">
        <f t="shared" si="10"/>
        <v>817564.39201884298</v>
      </c>
      <c r="K79" s="3"/>
    </row>
    <row r="80" spans="1:11" x14ac:dyDescent="0.25">
      <c r="A80" s="3">
        <v>102</v>
      </c>
      <c r="B80" s="6">
        <v>46167</v>
      </c>
      <c r="C80" s="3" t="s">
        <v>48</v>
      </c>
      <c r="D80" s="18">
        <f>Parâmetros!B5</f>
        <v>20000</v>
      </c>
      <c r="E80" s="6"/>
      <c r="F80" s="18"/>
      <c r="G80" s="27">
        <f t="shared" si="9"/>
        <v>817564.39201884298</v>
      </c>
      <c r="H80" s="10"/>
      <c r="I80" s="18">
        <f t="shared" si="8"/>
        <v>20000</v>
      </c>
      <c r="J80" s="18">
        <f t="shared" si="10"/>
        <v>797564.39201884298</v>
      </c>
      <c r="K80" s="3"/>
    </row>
    <row r="81" spans="1:11" x14ac:dyDescent="0.25">
      <c r="A81" s="3">
        <v>103</v>
      </c>
      <c r="B81" s="6">
        <v>46171</v>
      </c>
      <c r="C81" s="3" t="s">
        <v>47</v>
      </c>
      <c r="D81" s="18">
        <f>Parâmetros!B5</f>
        <v>20000</v>
      </c>
      <c r="E81" s="6"/>
      <c r="F81" s="18"/>
      <c r="G81" s="28">
        <f t="shared" si="9"/>
        <v>797564.39201884298</v>
      </c>
      <c r="H81" s="16">
        <v>1.7000000000000001E-2</v>
      </c>
      <c r="I81" s="20">
        <f t="shared" si="8"/>
        <v>20000</v>
      </c>
      <c r="J81" s="18">
        <f t="shared" si="10"/>
        <v>790782.98668316333</v>
      </c>
      <c r="K81" s="3"/>
    </row>
    <row r="82" spans="1:11" x14ac:dyDescent="0.25">
      <c r="A82" s="3">
        <v>104</v>
      </c>
      <c r="B82" s="6">
        <v>46174</v>
      </c>
      <c r="C82" s="3" t="s">
        <v>48</v>
      </c>
      <c r="D82" s="18">
        <f>Parâmetros!B5</f>
        <v>20000</v>
      </c>
      <c r="E82" s="6"/>
      <c r="F82" s="18"/>
      <c r="G82" s="27">
        <f t="shared" si="9"/>
        <v>790782.98668316333</v>
      </c>
      <c r="H82" s="10"/>
      <c r="I82" s="18">
        <f t="shared" si="8"/>
        <v>20000</v>
      </c>
      <c r="J82" s="18">
        <f t="shared" si="10"/>
        <v>770782.98668316333</v>
      </c>
      <c r="K82" s="3"/>
    </row>
    <row r="83" spans="1:11" x14ac:dyDescent="0.25">
      <c r="A83" s="3">
        <v>105</v>
      </c>
      <c r="B83" s="6">
        <v>46178</v>
      </c>
      <c r="C83" s="3" t="s">
        <v>47</v>
      </c>
      <c r="D83" s="18">
        <f>Parâmetros!B5</f>
        <v>20000</v>
      </c>
      <c r="E83" s="6"/>
      <c r="F83" s="18"/>
      <c r="G83" s="27">
        <f t="shared" si="9"/>
        <v>770782.98668316333</v>
      </c>
      <c r="H83" s="10"/>
      <c r="I83" s="18">
        <f t="shared" si="8"/>
        <v>20000</v>
      </c>
      <c r="J83" s="18">
        <f t="shared" si="10"/>
        <v>750782.98668316333</v>
      </c>
      <c r="K83" s="3"/>
    </row>
    <row r="84" spans="1:11" x14ac:dyDescent="0.25">
      <c r="A84" s="3">
        <v>106</v>
      </c>
      <c r="B84" s="6">
        <v>46181</v>
      </c>
      <c r="C84" s="3" t="s">
        <v>48</v>
      </c>
      <c r="D84" s="18">
        <f>Parâmetros!B5</f>
        <v>20000</v>
      </c>
      <c r="E84" s="6"/>
      <c r="F84" s="18"/>
      <c r="G84" s="27">
        <f t="shared" si="9"/>
        <v>750782.98668316333</v>
      </c>
      <c r="H84" s="10"/>
      <c r="I84" s="18">
        <f t="shared" si="8"/>
        <v>20000</v>
      </c>
      <c r="J84" s="18">
        <f t="shared" si="10"/>
        <v>730782.98668316333</v>
      </c>
      <c r="K84" s="3"/>
    </row>
    <row r="85" spans="1:11" x14ac:dyDescent="0.25">
      <c r="A85" s="3">
        <v>107</v>
      </c>
      <c r="B85" s="6">
        <v>46185</v>
      </c>
      <c r="C85" s="3" t="s">
        <v>47</v>
      </c>
      <c r="D85" s="18">
        <f>Parâmetros!B5</f>
        <v>20000</v>
      </c>
      <c r="E85" s="6"/>
      <c r="F85" s="18"/>
      <c r="G85" s="27">
        <f t="shared" si="9"/>
        <v>730782.98668316333</v>
      </c>
      <c r="H85" s="10"/>
      <c r="I85" s="18">
        <f t="shared" si="8"/>
        <v>20000</v>
      </c>
      <c r="J85" s="18">
        <f t="shared" si="10"/>
        <v>710782.98668316333</v>
      </c>
      <c r="K85" s="3"/>
    </row>
    <row r="86" spans="1:11" x14ac:dyDescent="0.25">
      <c r="A86" s="3">
        <v>108</v>
      </c>
      <c r="B86" s="6">
        <v>46188</v>
      </c>
      <c r="C86" s="3" t="s">
        <v>48</v>
      </c>
      <c r="D86" s="18">
        <f>Parâmetros!B5</f>
        <v>20000</v>
      </c>
      <c r="E86" s="6"/>
      <c r="F86" s="18"/>
      <c r="G86" s="27">
        <f t="shared" si="9"/>
        <v>710782.98668316333</v>
      </c>
      <c r="H86" s="10"/>
      <c r="I86" s="18">
        <f t="shared" si="8"/>
        <v>20000</v>
      </c>
      <c r="J86" s="18">
        <f t="shared" si="10"/>
        <v>690782.98668316333</v>
      </c>
      <c r="K86" s="3"/>
    </row>
    <row r="87" spans="1:11" x14ac:dyDescent="0.25">
      <c r="A87" s="3">
        <v>109</v>
      </c>
      <c r="B87" s="6">
        <v>46192</v>
      </c>
      <c r="C87" s="3" t="s">
        <v>47</v>
      </c>
      <c r="D87" s="18">
        <f>Parâmetros!B5</f>
        <v>20000</v>
      </c>
      <c r="E87" s="6"/>
      <c r="F87" s="18"/>
      <c r="G87" s="27">
        <f t="shared" si="9"/>
        <v>690782.98668316333</v>
      </c>
      <c r="H87" s="10"/>
      <c r="I87" s="18">
        <f t="shared" si="8"/>
        <v>20000</v>
      </c>
      <c r="J87" s="18">
        <f t="shared" si="10"/>
        <v>670782.98668316333</v>
      </c>
      <c r="K87" s="3"/>
    </row>
    <row r="88" spans="1:11" x14ac:dyDescent="0.25">
      <c r="A88" s="3">
        <v>110</v>
      </c>
      <c r="B88" s="6">
        <v>46195</v>
      </c>
      <c r="C88" s="3" t="s">
        <v>48</v>
      </c>
      <c r="D88" s="18">
        <f>Parâmetros!B5</f>
        <v>20000</v>
      </c>
      <c r="E88" s="6"/>
      <c r="F88" s="18"/>
      <c r="G88" s="27">
        <f t="shared" si="9"/>
        <v>670782.98668316333</v>
      </c>
      <c r="H88" s="10"/>
      <c r="I88" s="18">
        <f t="shared" si="8"/>
        <v>20000</v>
      </c>
      <c r="J88" s="18">
        <f t="shared" si="10"/>
        <v>650782.98668316333</v>
      </c>
      <c r="K88" s="3"/>
    </row>
    <row r="89" spans="1:11" x14ac:dyDescent="0.25">
      <c r="A89" s="3">
        <v>111</v>
      </c>
      <c r="B89" s="6">
        <v>46199</v>
      </c>
      <c r="C89" s="3" t="s">
        <v>47</v>
      </c>
      <c r="D89" s="18">
        <f>Parâmetros!B5</f>
        <v>20000</v>
      </c>
      <c r="E89" s="6"/>
      <c r="F89" s="18"/>
      <c r="G89" s="27">
        <f t="shared" si="9"/>
        <v>650782.98668316333</v>
      </c>
      <c r="H89" s="10"/>
      <c r="I89" s="18">
        <f t="shared" si="8"/>
        <v>20000</v>
      </c>
      <c r="J89" s="18">
        <f t="shared" si="10"/>
        <v>630782.98668316333</v>
      </c>
      <c r="K89" s="3"/>
    </row>
    <row r="90" spans="1:11" x14ac:dyDescent="0.25">
      <c r="A90" s="3">
        <v>112</v>
      </c>
      <c r="B90" s="6">
        <v>46202</v>
      </c>
      <c r="C90" s="3" t="s">
        <v>48</v>
      </c>
      <c r="D90" s="18">
        <f>Parâmetros!B5</f>
        <v>20000</v>
      </c>
      <c r="E90" s="6"/>
      <c r="F90" s="18"/>
      <c r="G90" s="28">
        <f t="shared" si="9"/>
        <v>630782.98668316333</v>
      </c>
      <c r="H90" s="16">
        <v>1.8100000000000002E-2</v>
      </c>
      <c r="I90" s="20">
        <f t="shared" si="8"/>
        <v>20000</v>
      </c>
      <c r="J90" s="18">
        <f t="shared" si="10"/>
        <v>621838.15874212864</v>
      </c>
      <c r="K90" s="3"/>
    </row>
    <row r="91" spans="1:11" x14ac:dyDescent="0.25">
      <c r="A91" s="3">
        <v>113</v>
      </c>
      <c r="B91" s="6">
        <v>46206</v>
      </c>
      <c r="C91" s="3" t="s">
        <v>47</v>
      </c>
      <c r="D91" s="18">
        <f>Parâmetros!B5</f>
        <v>20000</v>
      </c>
      <c r="E91" s="6"/>
      <c r="F91" s="18"/>
      <c r="G91" s="27">
        <f t="shared" si="9"/>
        <v>621838.15874212864</v>
      </c>
      <c r="H91" s="10"/>
      <c r="I91" s="18">
        <f t="shared" si="8"/>
        <v>20000</v>
      </c>
      <c r="J91" s="18">
        <f t="shared" si="10"/>
        <v>601838.15874212864</v>
      </c>
      <c r="K91" s="3"/>
    </row>
    <row r="92" spans="1:11" x14ac:dyDescent="0.25">
      <c r="A92" s="3">
        <v>114</v>
      </c>
      <c r="B92" s="6">
        <v>46209</v>
      </c>
      <c r="C92" s="3" t="s">
        <v>48</v>
      </c>
      <c r="D92" s="18">
        <f>Parâmetros!B5</f>
        <v>20000</v>
      </c>
      <c r="E92" s="6"/>
      <c r="F92" s="18"/>
      <c r="G92" s="27">
        <f t="shared" si="9"/>
        <v>601838.15874212864</v>
      </c>
      <c r="H92" s="10"/>
      <c r="I92" s="18">
        <f t="shared" si="8"/>
        <v>20000</v>
      </c>
      <c r="J92" s="18">
        <f t="shared" si="10"/>
        <v>581838.15874212864</v>
      </c>
      <c r="K92" s="3"/>
    </row>
    <row r="93" spans="1:11" x14ac:dyDescent="0.25">
      <c r="A93" s="3">
        <v>115</v>
      </c>
      <c r="B93" s="6">
        <v>46213</v>
      </c>
      <c r="C93" s="3" t="s">
        <v>47</v>
      </c>
      <c r="D93" s="18">
        <f>Parâmetros!B5</f>
        <v>20000</v>
      </c>
      <c r="E93" s="6"/>
      <c r="F93" s="18"/>
      <c r="G93" s="27">
        <f t="shared" si="9"/>
        <v>581838.15874212864</v>
      </c>
      <c r="H93" s="10"/>
      <c r="I93" s="18">
        <f t="shared" si="8"/>
        <v>20000</v>
      </c>
      <c r="J93" s="18">
        <f t="shared" si="10"/>
        <v>561838.15874212864</v>
      </c>
      <c r="K93" s="3"/>
    </row>
    <row r="94" spans="1:11" x14ac:dyDescent="0.25">
      <c r="A94" s="3">
        <v>116</v>
      </c>
      <c r="B94" s="6">
        <v>46216</v>
      </c>
      <c r="C94" s="3" t="s">
        <v>48</v>
      </c>
      <c r="D94" s="18">
        <f>Parâmetros!B5</f>
        <v>20000</v>
      </c>
      <c r="E94" s="6"/>
      <c r="F94" s="18"/>
      <c r="G94" s="27">
        <f t="shared" si="9"/>
        <v>561838.15874212864</v>
      </c>
      <c r="H94" s="10"/>
      <c r="I94" s="18">
        <f t="shared" si="8"/>
        <v>20000</v>
      </c>
      <c r="J94" s="18">
        <f t="shared" si="10"/>
        <v>541838.15874212864</v>
      </c>
      <c r="K94" s="3"/>
    </row>
    <row r="95" spans="1:11" x14ac:dyDescent="0.25">
      <c r="A95" s="3">
        <v>117</v>
      </c>
      <c r="B95" s="6">
        <v>46220</v>
      </c>
      <c r="C95" s="3" t="s">
        <v>47</v>
      </c>
      <c r="D95" s="18">
        <f>Parâmetros!B5</f>
        <v>20000</v>
      </c>
      <c r="E95" s="6"/>
      <c r="F95" s="18"/>
      <c r="G95" s="27">
        <f t="shared" si="9"/>
        <v>541838.15874212864</v>
      </c>
      <c r="H95" s="10"/>
      <c r="I95" s="18">
        <f t="shared" si="8"/>
        <v>20000</v>
      </c>
      <c r="J95" s="18">
        <f t="shared" si="10"/>
        <v>521838.15874212864</v>
      </c>
      <c r="K95" s="3"/>
    </row>
    <row r="96" spans="1:11" x14ac:dyDescent="0.25">
      <c r="A96" s="3">
        <v>118</v>
      </c>
      <c r="B96" s="6">
        <v>46223</v>
      </c>
      <c r="C96" s="3" t="s">
        <v>48</v>
      </c>
      <c r="D96" s="18">
        <f>Parâmetros!B5</f>
        <v>20000</v>
      </c>
      <c r="E96" s="6"/>
      <c r="F96" s="18"/>
      <c r="G96" s="27">
        <f t="shared" si="9"/>
        <v>521838.15874212864</v>
      </c>
      <c r="H96" s="10"/>
      <c r="I96" s="18">
        <f t="shared" si="8"/>
        <v>20000</v>
      </c>
      <c r="J96" s="18">
        <f t="shared" si="10"/>
        <v>501838.15874212864</v>
      </c>
      <c r="K96" s="3"/>
    </row>
    <row r="97" spans="1:11" x14ac:dyDescent="0.25">
      <c r="A97" s="3">
        <v>119</v>
      </c>
      <c r="B97" s="6">
        <v>46227</v>
      </c>
      <c r="C97" s="3" t="s">
        <v>47</v>
      </c>
      <c r="D97" s="18">
        <f>Parâmetros!B5</f>
        <v>20000</v>
      </c>
      <c r="E97" s="6"/>
      <c r="F97" s="18"/>
      <c r="G97" s="27">
        <f t="shared" si="9"/>
        <v>501838.15874212864</v>
      </c>
      <c r="H97" s="10"/>
      <c r="I97" s="18">
        <f t="shared" si="8"/>
        <v>20000</v>
      </c>
      <c r="J97" s="18">
        <f t="shared" si="10"/>
        <v>481838.15874212864</v>
      </c>
      <c r="K97" s="3"/>
    </row>
    <row r="98" spans="1:11" x14ac:dyDescent="0.25">
      <c r="A98" s="3">
        <v>120</v>
      </c>
      <c r="B98" s="6">
        <v>46230</v>
      </c>
      <c r="C98" s="3" t="s">
        <v>48</v>
      </c>
      <c r="D98" s="18">
        <f>Parâmetros!B5</f>
        <v>20000</v>
      </c>
      <c r="E98" s="6"/>
      <c r="F98" s="18"/>
      <c r="G98" s="27">
        <f t="shared" si="9"/>
        <v>481838.15874212864</v>
      </c>
      <c r="H98" s="10"/>
      <c r="I98" s="18">
        <f t="shared" si="8"/>
        <v>20000</v>
      </c>
      <c r="J98" s="18">
        <f t="shared" si="10"/>
        <v>461838.15874212864</v>
      </c>
      <c r="K98" s="3"/>
    </row>
    <row r="99" spans="1:11" x14ac:dyDescent="0.25">
      <c r="A99" s="3">
        <v>121</v>
      </c>
      <c r="B99" s="6">
        <v>46234</v>
      </c>
      <c r="C99" s="3" t="s">
        <v>47</v>
      </c>
      <c r="D99" s="18">
        <f>Parâmetros!B5</f>
        <v>20000</v>
      </c>
      <c r="E99" s="6"/>
      <c r="F99" s="18"/>
      <c r="G99" s="28">
        <f t="shared" si="9"/>
        <v>461838.15874212864</v>
      </c>
      <c r="H99" s="16">
        <v>1.7600000000000001E-2</v>
      </c>
      <c r="I99" s="20">
        <f t="shared" si="8"/>
        <v>20000</v>
      </c>
      <c r="J99" s="18">
        <f t="shared" si="10"/>
        <v>449614.51033599011</v>
      </c>
      <c r="K99" s="3"/>
    </row>
    <row r="100" spans="1:11" x14ac:dyDescent="0.25">
      <c r="A100" s="3">
        <v>122</v>
      </c>
      <c r="B100" s="6">
        <v>46237</v>
      </c>
      <c r="C100" s="3" t="s">
        <v>48</v>
      </c>
      <c r="D100" s="18">
        <f>Parâmetros!B5</f>
        <v>20000</v>
      </c>
      <c r="E100" s="6"/>
      <c r="F100" s="18"/>
      <c r="G100" s="27">
        <f t="shared" si="9"/>
        <v>449614.51033599011</v>
      </c>
      <c r="H100" s="10"/>
      <c r="I100" s="18">
        <f t="shared" si="8"/>
        <v>20000</v>
      </c>
      <c r="J100" s="18">
        <f t="shared" si="10"/>
        <v>429614.51033599011</v>
      </c>
      <c r="K100" s="3"/>
    </row>
    <row r="101" spans="1:11" x14ac:dyDescent="0.25">
      <c r="A101" s="3">
        <v>123</v>
      </c>
      <c r="B101" s="6">
        <v>46241</v>
      </c>
      <c r="C101" s="3" t="s">
        <v>47</v>
      </c>
      <c r="D101" s="18">
        <f>Parâmetros!B5</f>
        <v>20000</v>
      </c>
      <c r="E101" s="6"/>
      <c r="F101" s="18"/>
      <c r="G101" s="27">
        <f t="shared" si="9"/>
        <v>429614.51033599011</v>
      </c>
      <c r="H101" s="10"/>
      <c r="I101" s="18">
        <f t="shared" si="8"/>
        <v>20000</v>
      </c>
      <c r="J101" s="18">
        <f t="shared" si="10"/>
        <v>409614.51033599011</v>
      </c>
      <c r="K101" s="3"/>
    </row>
    <row r="102" spans="1:11" x14ac:dyDescent="0.25">
      <c r="A102" s="3">
        <v>124</v>
      </c>
      <c r="B102" s="6">
        <v>46244</v>
      </c>
      <c r="C102" s="3" t="s">
        <v>48</v>
      </c>
      <c r="D102" s="18">
        <f>Parâmetros!B5</f>
        <v>20000</v>
      </c>
      <c r="E102" s="6"/>
      <c r="F102" s="18"/>
      <c r="G102" s="27">
        <f t="shared" si="9"/>
        <v>409614.51033599011</v>
      </c>
      <c r="H102" s="10"/>
      <c r="I102" s="18">
        <f t="shared" si="8"/>
        <v>20000</v>
      </c>
      <c r="J102" s="18">
        <f t="shared" si="10"/>
        <v>389614.51033599011</v>
      </c>
      <c r="K102" s="3"/>
    </row>
    <row r="103" spans="1:11" x14ac:dyDescent="0.25">
      <c r="A103" s="3">
        <v>125</v>
      </c>
      <c r="B103" s="6">
        <v>46248</v>
      </c>
      <c r="C103" s="3" t="s">
        <v>47</v>
      </c>
      <c r="D103" s="18">
        <f>Parâmetros!B5</f>
        <v>20000</v>
      </c>
      <c r="E103" s="6"/>
      <c r="F103" s="18"/>
      <c r="G103" s="27">
        <f t="shared" si="9"/>
        <v>389614.51033599011</v>
      </c>
      <c r="H103" s="10"/>
      <c r="I103" s="18">
        <f t="shared" si="8"/>
        <v>20000</v>
      </c>
      <c r="J103" s="18">
        <f t="shared" si="10"/>
        <v>369614.51033599011</v>
      </c>
      <c r="K103" s="3"/>
    </row>
    <row r="104" spans="1:11" x14ac:dyDescent="0.25">
      <c r="A104" s="3">
        <v>126</v>
      </c>
      <c r="B104" s="6">
        <v>46251</v>
      </c>
      <c r="C104" s="3" t="s">
        <v>48</v>
      </c>
      <c r="D104" s="18">
        <f>Parâmetros!B5</f>
        <v>20000</v>
      </c>
      <c r="E104" s="6"/>
      <c r="F104" s="18"/>
      <c r="G104" s="27">
        <f t="shared" si="9"/>
        <v>369614.51033599011</v>
      </c>
      <c r="H104" s="10"/>
      <c r="I104" s="18">
        <f t="shared" si="8"/>
        <v>20000</v>
      </c>
      <c r="J104" s="18">
        <f t="shared" si="10"/>
        <v>349614.51033599011</v>
      </c>
      <c r="K104" s="3"/>
    </row>
    <row r="105" spans="1:11" x14ac:dyDescent="0.25">
      <c r="A105" s="3">
        <v>127</v>
      </c>
      <c r="B105" s="6">
        <v>46255</v>
      </c>
      <c r="C105" s="3" t="s">
        <v>47</v>
      </c>
      <c r="D105" s="18">
        <f>Parâmetros!B5</f>
        <v>20000</v>
      </c>
      <c r="E105" s="6"/>
      <c r="F105" s="18"/>
      <c r="G105" s="27">
        <f t="shared" si="9"/>
        <v>349614.51033599011</v>
      </c>
      <c r="H105" s="10"/>
      <c r="I105" s="18">
        <f t="shared" si="8"/>
        <v>20000</v>
      </c>
      <c r="J105" s="18">
        <f t="shared" si="10"/>
        <v>329614.51033599011</v>
      </c>
      <c r="K105" s="3"/>
    </row>
    <row r="106" spans="1:11" x14ac:dyDescent="0.25">
      <c r="A106" s="3">
        <v>128</v>
      </c>
      <c r="B106" s="6">
        <v>46258</v>
      </c>
      <c r="C106" s="3" t="s">
        <v>48</v>
      </c>
      <c r="D106" s="18">
        <f>Parâmetros!B5</f>
        <v>20000</v>
      </c>
      <c r="E106" s="6"/>
      <c r="F106" s="18"/>
      <c r="G106" s="27">
        <f t="shared" si="9"/>
        <v>329614.51033599011</v>
      </c>
      <c r="H106" s="10"/>
      <c r="I106" s="18">
        <f t="shared" si="8"/>
        <v>20000</v>
      </c>
      <c r="J106" s="18">
        <f t="shared" si="10"/>
        <v>309614.51033599011</v>
      </c>
      <c r="K106" s="3"/>
    </row>
    <row r="107" spans="1:11" x14ac:dyDescent="0.25">
      <c r="A107" s="3">
        <v>129</v>
      </c>
      <c r="B107" s="6">
        <v>46262</v>
      </c>
      <c r="C107" s="3" t="s">
        <v>47</v>
      </c>
      <c r="D107" s="18">
        <f>Parâmetros!B5</f>
        <v>20000</v>
      </c>
      <c r="E107" s="6"/>
      <c r="F107" s="18"/>
      <c r="G107" s="27">
        <f t="shared" si="9"/>
        <v>309614.51033599011</v>
      </c>
      <c r="H107" s="10"/>
      <c r="I107" s="18">
        <f t="shared" si="8"/>
        <v>20000</v>
      </c>
      <c r="J107" s="18">
        <f t="shared" si="10"/>
        <v>289614.51033599011</v>
      </c>
      <c r="K107" s="3"/>
    </row>
    <row r="108" spans="1:11" x14ac:dyDescent="0.25">
      <c r="A108" s="3">
        <v>130</v>
      </c>
      <c r="B108" s="6">
        <v>46265</v>
      </c>
      <c r="C108" s="3" t="s">
        <v>48</v>
      </c>
      <c r="D108" s="18">
        <f>Parâmetros!B5</f>
        <v>20000</v>
      </c>
      <c r="E108" s="6"/>
      <c r="F108" s="18"/>
      <c r="G108" s="28">
        <f t="shared" si="9"/>
        <v>289614.51033599011</v>
      </c>
      <c r="H108" s="16">
        <v>1.67E-2</v>
      </c>
      <c r="I108" s="20">
        <f t="shared" si="8"/>
        <v>20000</v>
      </c>
      <c r="J108" s="18">
        <f>SUM(G108-I108)*H108+(G108-I108)</f>
        <v>274117.07265860116</v>
      </c>
      <c r="K108" s="3"/>
    </row>
    <row r="109" spans="1:11" x14ac:dyDescent="0.25">
      <c r="A109" s="3">
        <v>131</v>
      </c>
      <c r="B109" s="6">
        <v>46269</v>
      </c>
      <c r="C109" s="3" t="s">
        <v>47</v>
      </c>
      <c r="D109" s="18">
        <f>Parâmetros!B5</f>
        <v>20000</v>
      </c>
      <c r="E109" s="6"/>
      <c r="F109" s="18"/>
      <c r="G109" s="27">
        <f t="shared" si="9"/>
        <v>274117.07265860116</v>
      </c>
      <c r="H109" s="10"/>
      <c r="I109" s="18">
        <f t="shared" si="8"/>
        <v>20000</v>
      </c>
      <c r="J109" s="18">
        <f>SUM(G109-I109)*H109+(G109-I109)</f>
        <v>254117.07265860116</v>
      </c>
      <c r="K109" s="3"/>
    </row>
    <row r="110" spans="1:11" x14ac:dyDescent="0.25">
      <c r="A110" s="3">
        <v>132</v>
      </c>
      <c r="B110" s="6">
        <v>46272</v>
      </c>
      <c r="C110" s="3" t="s">
        <v>48</v>
      </c>
      <c r="D110" s="18">
        <f>Parâmetros!B5</f>
        <v>20000</v>
      </c>
      <c r="E110" s="6"/>
      <c r="F110" s="18"/>
      <c r="G110" s="27">
        <f t="shared" si="9"/>
        <v>254117.07265860116</v>
      </c>
      <c r="H110" s="10"/>
      <c r="I110" s="18">
        <f t="shared" si="8"/>
        <v>20000</v>
      </c>
      <c r="J110" s="18">
        <f t="shared" si="10"/>
        <v>234117.07265860116</v>
      </c>
      <c r="K110" s="3"/>
    </row>
    <row r="111" spans="1:11" x14ac:dyDescent="0.25">
      <c r="A111" s="3">
        <v>133</v>
      </c>
      <c r="B111" s="6">
        <v>46276</v>
      </c>
      <c r="C111" s="3" t="s">
        <v>47</v>
      </c>
      <c r="D111" s="18">
        <f>Parâmetros!B5</f>
        <v>20000</v>
      </c>
      <c r="E111" s="6"/>
      <c r="F111" s="18"/>
      <c r="G111" s="27">
        <f t="shared" si="9"/>
        <v>234117.07265860116</v>
      </c>
      <c r="H111" s="10"/>
      <c r="I111" s="18">
        <f t="shared" si="8"/>
        <v>20000</v>
      </c>
      <c r="J111" s="18">
        <f t="shared" si="10"/>
        <v>214117.07265860116</v>
      </c>
      <c r="K111" s="3"/>
    </row>
    <row r="112" spans="1:11" x14ac:dyDescent="0.25">
      <c r="A112" s="3">
        <v>134</v>
      </c>
      <c r="B112" s="6">
        <v>46279</v>
      </c>
      <c r="C112" s="3" t="s">
        <v>48</v>
      </c>
      <c r="D112" s="18">
        <f>Parâmetros!B5</f>
        <v>20000</v>
      </c>
      <c r="E112" s="6"/>
      <c r="F112" s="18"/>
      <c r="G112" s="27">
        <f t="shared" si="9"/>
        <v>214117.07265860116</v>
      </c>
      <c r="H112" s="10"/>
      <c r="I112" s="18">
        <f t="shared" si="8"/>
        <v>20000</v>
      </c>
      <c r="J112" s="18">
        <f t="shared" si="10"/>
        <v>194117.07265860116</v>
      </c>
      <c r="K112" s="3"/>
    </row>
    <row r="113" spans="1:11" x14ac:dyDescent="0.25">
      <c r="A113" s="3">
        <v>135</v>
      </c>
      <c r="B113" s="6">
        <v>46283</v>
      </c>
      <c r="C113" s="3" t="s">
        <v>47</v>
      </c>
      <c r="D113" s="18">
        <f>Parâmetros!B5</f>
        <v>20000</v>
      </c>
      <c r="E113" s="6"/>
      <c r="F113" s="18"/>
      <c r="G113" s="27">
        <f t="shared" si="9"/>
        <v>194117.07265860116</v>
      </c>
      <c r="H113" s="10"/>
      <c r="I113" s="18">
        <f t="shared" si="8"/>
        <v>20000</v>
      </c>
      <c r="J113" s="18">
        <f t="shared" si="10"/>
        <v>174117.07265860116</v>
      </c>
      <c r="K113" s="3"/>
    </row>
    <row r="114" spans="1:11" x14ac:dyDescent="0.25">
      <c r="A114" s="3">
        <v>136</v>
      </c>
      <c r="B114" s="6">
        <v>46286</v>
      </c>
      <c r="C114" s="3" t="s">
        <v>48</v>
      </c>
      <c r="D114" s="18">
        <f>Parâmetros!B5</f>
        <v>20000</v>
      </c>
      <c r="E114" s="6"/>
      <c r="F114" s="18"/>
      <c r="G114" s="27">
        <f t="shared" si="9"/>
        <v>174117.07265860116</v>
      </c>
      <c r="H114" s="10"/>
      <c r="I114" s="18">
        <f t="shared" si="8"/>
        <v>20000</v>
      </c>
      <c r="J114" s="18">
        <f t="shared" si="10"/>
        <v>154117.07265860116</v>
      </c>
      <c r="K114" s="3"/>
    </row>
    <row r="115" spans="1:11" x14ac:dyDescent="0.25">
      <c r="A115" s="3">
        <v>137</v>
      </c>
      <c r="B115" s="6">
        <v>46290</v>
      </c>
      <c r="C115" s="3" t="s">
        <v>47</v>
      </c>
      <c r="D115" s="18">
        <f>Parâmetros!B5</f>
        <v>20000</v>
      </c>
      <c r="E115" s="6"/>
      <c r="F115" s="18"/>
      <c r="G115" s="27">
        <f t="shared" si="9"/>
        <v>154117.07265860116</v>
      </c>
      <c r="H115" s="10"/>
      <c r="I115" s="18">
        <f t="shared" si="8"/>
        <v>20000</v>
      </c>
      <c r="J115" s="18">
        <f t="shared" si="10"/>
        <v>134117.07265860116</v>
      </c>
      <c r="K115" s="3"/>
    </row>
    <row r="116" spans="1:11" x14ac:dyDescent="0.25">
      <c r="A116" s="3">
        <v>138</v>
      </c>
      <c r="B116" s="6">
        <v>46293</v>
      </c>
      <c r="C116" s="3" t="s">
        <v>48</v>
      </c>
      <c r="D116" s="18">
        <f>Parâmetros!B5</f>
        <v>20000</v>
      </c>
      <c r="E116" s="6"/>
      <c r="F116" s="18"/>
      <c r="G116" s="28">
        <f t="shared" si="9"/>
        <v>134117.07265860116</v>
      </c>
      <c r="H116" s="16">
        <v>1.83E-2</v>
      </c>
      <c r="I116" s="20">
        <f t="shared" si="8"/>
        <v>20000</v>
      </c>
      <c r="J116" s="18">
        <f t="shared" si="10"/>
        <v>116205.41508825356</v>
      </c>
      <c r="K116" s="3"/>
    </row>
    <row r="117" spans="1:11" x14ac:dyDescent="0.25">
      <c r="A117" s="3">
        <v>139</v>
      </c>
      <c r="B117" s="6">
        <v>46297</v>
      </c>
      <c r="C117" s="3" t="s">
        <v>47</v>
      </c>
      <c r="D117" s="18">
        <f>Parâmetros!B5</f>
        <v>20000</v>
      </c>
      <c r="E117" s="6"/>
      <c r="F117" s="18"/>
      <c r="G117" s="27">
        <f t="shared" si="9"/>
        <v>116205.41508825356</v>
      </c>
      <c r="H117" s="10"/>
      <c r="I117" s="18">
        <f t="shared" si="8"/>
        <v>20000</v>
      </c>
      <c r="J117" s="18">
        <f t="shared" si="10"/>
        <v>96205.415088253561</v>
      </c>
      <c r="K117" s="3"/>
    </row>
    <row r="118" spans="1:11" x14ac:dyDescent="0.25">
      <c r="A118" s="3">
        <v>140</v>
      </c>
      <c r="B118" s="6">
        <v>46300</v>
      </c>
      <c r="C118" s="3" t="s">
        <v>48</v>
      </c>
      <c r="D118" s="18">
        <f>Parâmetros!B5</f>
        <v>20000</v>
      </c>
      <c r="E118" s="6"/>
      <c r="F118" s="18"/>
      <c r="G118" s="27">
        <f t="shared" si="9"/>
        <v>96205.415088253561</v>
      </c>
      <c r="H118" s="10"/>
      <c r="I118" s="18">
        <f t="shared" si="8"/>
        <v>20000</v>
      </c>
      <c r="J118" s="18">
        <f t="shared" si="10"/>
        <v>76205.415088253561</v>
      </c>
      <c r="K118" s="3"/>
    </row>
    <row r="119" spans="1:11" x14ac:dyDescent="0.25">
      <c r="A119" s="3">
        <v>141</v>
      </c>
      <c r="B119" s="6">
        <v>46304</v>
      </c>
      <c r="C119" s="3" t="s">
        <v>47</v>
      </c>
      <c r="D119" s="18">
        <f>Parâmetros!B5</f>
        <v>20000</v>
      </c>
      <c r="E119" s="6"/>
      <c r="F119" s="18"/>
      <c r="G119" s="27">
        <f t="shared" si="9"/>
        <v>76205.415088253561</v>
      </c>
      <c r="H119" s="10"/>
      <c r="I119" s="18">
        <f t="shared" si="8"/>
        <v>20000</v>
      </c>
      <c r="J119" s="18">
        <f t="shared" si="10"/>
        <v>56205.415088253561</v>
      </c>
      <c r="K119" s="3"/>
    </row>
    <row r="120" spans="1:11" x14ac:dyDescent="0.25">
      <c r="A120" s="3">
        <v>142</v>
      </c>
      <c r="B120" s="6">
        <v>46307</v>
      </c>
      <c r="C120" s="3" t="s">
        <v>48</v>
      </c>
      <c r="D120" s="18">
        <f>Parâmetros!B5</f>
        <v>20000</v>
      </c>
      <c r="E120" s="6"/>
      <c r="F120" s="18"/>
      <c r="G120" s="27">
        <f t="shared" si="9"/>
        <v>56205.415088253561</v>
      </c>
      <c r="H120" s="10"/>
      <c r="I120" s="18">
        <f t="shared" si="8"/>
        <v>20000</v>
      </c>
      <c r="J120" s="18">
        <f t="shared" si="10"/>
        <v>36205.415088253561</v>
      </c>
      <c r="K120" s="3"/>
    </row>
    <row r="121" spans="1:11" x14ac:dyDescent="0.25">
      <c r="A121" s="3">
        <v>143</v>
      </c>
      <c r="B121" s="6">
        <v>46311</v>
      </c>
      <c r="C121" s="3" t="s">
        <v>47</v>
      </c>
      <c r="D121" s="18">
        <f>Parâmetros!B5</f>
        <v>20000</v>
      </c>
      <c r="E121" s="6"/>
      <c r="F121" s="18"/>
      <c r="G121" s="27">
        <f t="shared" si="9"/>
        <v>36205.415088253561</v>
      </c>
      <c r="H121" s="10"/>
      <c r="I121" s="18">
        <f t="shared" si="8"/>
        <v>20000</v>
      </c>
      <c r="J121" s="18">
        <f t="shared" si="10"/>
        <v>16205.415088253561</v>
      </c>
      <c r="K121" s="3"/>
    </row>
    <row r="122" spans="1:11" x14ac:dyDescent="0.25">
      <c r="A122" s="3">
        <v>144</v>
      </c>
      <c r="B122" s="6">
        <v>46314</v>
      </c>
      <c r="C122" s="3" t="s">
        <v>48</v>
      </c>
      <c r="D122" s="18">
        <f>Parâmetros!B5</f>
        <v>20000</v>
      </c>
      <c r="E122" s="6"/>
      <c r="F122" s="18"/>
      <c r="G122" s="27">
        <f t="shared" si="9"/>
        <v>16205.415088253561</v>
      </c>
      <c r="H122" s="10"/>
      <c r="I122" s="18">
        <f t="shared" si="8"/>
        <v>16205.415088253561</v>
      </c>
      <c r="J122" s="18">
        <f t="shared" si="10"/>
        <v>0</v>
      </c>
      <c r="K122" s="3"/>
    </row>
    <row r="123" spans="1:11" x14ac:dyDescent="0.25">
      <c r="A123" s="3">
        <v>145</v>
      </c>
      <c r="B123" s="6">
        <v>46318</v>
      </c>
      <c r="C123" s="3" t="s">
        <v>47</v>
      </c>
      <c r="D123" s="18">
        <f>Parâmetros!B5</f>
        <v>20000</v>
      </c>
      <c r="E123" s="6"/>
      <c r="F123" s="18"/>
      <c r="G123" s="27">
        <f t="shared" si="9"/>
        <v>0</v>
      </c>
      <c r="H123" s="10"/>
      <c r="I123" s="18">
        <f t="shared" si="8"/>
        <v>0</v>
      </c>
      <c r="J123" s="18">
        <f t="shared" si="10"/>
        <v>0</v>
      </c>
      <c r="K123" s="3"/>
    </row>
    <row r="124" spans="1:11" x14ac:dyDescent="0.25">
      <c r="A124" s="3">
        <v>146</v>
      </c>
      <c r="B124" s="6">
        <v>46321</v>
      </c>
      <c r="C124" s="3" t="s">
        <v>48</v>
      </c>
      <c r="D124" s="18">
        <v>20000</v>
      </c>
      <c r="E124" s="6"/>
      <c r="F124" s="18"/>
      <c r="G124" s="27">
        <f t="shared" si="9"/>
        <v>0</v>
      </c>
      <c r="H124" s="10"/>
      <c r="I124" s="18">
        <f t="shared" si="8"/>
        <v>0</v>
      </c>
      <c r="J124" s="18">
        <f t="shared" ref="J124:J128" si="11">G124-I124</f>
        <v>0</v>
      </c>
      <c r="K124" s="7"/>
    </row>
    <row r="125" spans="1:11" x14ac:dyDescent="0.25">
      <c r="A125" s="3">
        <v>147</v>
      </c>
      <c r="B125" s="6">
        <v>46325</v>
      </c>
      <c r="C125" s="3" t="s">
        <v>47</v>
      </c>
      <c r="D125" s="18">
        <v>20000</v>
      </c>
      <c r="E125" s="6"/>
      <c r="F125" s="18"/>
      <c r="G125" s="28">
        <f t="shared" si="9"/>
        <v>0</v>
      </c>
      <c r="H125" s="16">
        <v>1.9E-2</v>
      </c>
      <c r="I125" s="20">
        <f t="shared" si="8"/>
        <v>0</v>
      </c>
      <c r="J125" s="18">
        <f>SUM(G125-I125)*H125+(G125-I125)</f>
        <v>0</v>
      </c>
      <c r="K125" s="7"/>
    </row>
    <row r="126" spans="1:11" x14ac:dyDescent="0.25">
      <c r="A126" s="3">
        <v>148</v>
      </c>
      <c r="B126" s="6">
        <v>46328</v>
      </c>
      <c r="C126" s="3" t="s">
        <v>48</v>
      </c>
      <c r="D126" s="18">
        <v>20000</v>
      </c>
      <c r="E126" s="6"/>
      <c r="F126" s="18"/>
      <c r="G126" s="27">
        <f t="shared" si="9"/>
        <v>0</v>
      </c>
      <c r="H126" s="10"/>
      <c r="I126" s="18">
        <f t="shared" si="8"/>
        <v>0</v>
      </c>
      <c r="J126" s="18">
        <f>SUM(G126-I126)*H126+(G126-I126)</f>
        <v>0</v>
      </c>
      <c r="K126" s="7"/>
    </row>
    <row r="127" spans="1:11" x14ac:dyDescent="0.25">
      <c r="A127" s="3">
        <v>149</v>
      </c>
      <c r="B127" s="6">
        <v>46332</v>
      </c>
      <c r="C127" s="3" t="s">
        <v>47</v>
      </c>
      <c r="D127" s="18">
        <v>20000</v>
      </c>
      <c r="E127" s="6"/>
      <c r="F127" s="18"/>
      <c r="G127" s="27">
        <f t="shared" si="9"/>
        <v>0</v>
      </c>
      <c r="H127" s="10"/>
      <c r="I127" s="18">
        <f t="shared" si="8"/>
        <v>0</v>
      </c>
      <c r="J127" s="18">
        <f t="shared" si="11"/>
        <v>0</v>
      </c>
      <c r="K127" s="7"/>
    </row>
    <row r="128" spans="1:11" x14ac:dyDescent="0.25">
      <c r="A128" s="3">
        <v>150</v>
      </c>
      <c r="B128" s="6">
        <v>46335</v>
      </c>
      <c r="C128" s="3" t="s">
        <v>48</v>
      </c>
      <c r="D128" s="18">
        <v>20000</v>
      </c>
      <c r="E128" s="6"/>
      <c r="F128" s="18"/>
      <c r="G128" s="27">
        <f t="shared" si="9"/>
        <v>0</v>
      </c>
      <c r="H128" s="17"/>
      <c r="I128" s="18">
        <f t="shared" si="8"/>
        <v>0</v>
      </c>
      <c r="J128" s="18">
        <f t="shared" si="11"/>
        <v>0</v>
      </c>
      <c r="K128" s="7"/>
    </row>
    <row r="129" spans="4:8" x14ac:dyDescent="0.25">
      <c r="H129"/>
    </row>
    <row r="130" spans="4:8" x14ac:dyDescent="0.25">
      <c r="H130"/>
    </row>
    <row r="131" spans="4:8" x14ac:dyDescent="0.25">
      <c r="D131" s="2"/>
      <c r="H131"/>
    </row>
    <row r="132" spans="4:8" x14ac:dyDescent="0.25">
      <c r="H132"/>
    </row>
    <row r="133" spans="4:8" x14ac:dyDescent="0.25">
      <c r="H133"/>
    </row>
    <row r="134" spans="4:8" x14ac:dyDescent="0.25">
      <c r="H134"/>
    </row>
    <row r="135" spans="4:8" x14ac:dyDescent="0.25">
      <c r="H135"/>
    </row>
    <row r="136" spans="4:8" x14ac:dyDescent="0.25">
      <c r="H136"/>
    </row>
    <row r="137" spans="4:8" x14ac:dyDescent="0.25">
      <c r="H137"/>
    </row>
    <row r="138" spans="4:8" x14ac:dyDescent="0.25">
      <c r="H138"/>
    </row>
    <row r="139" spans="4:8" x14ac:dyDescent="0.25">
      <c r="H139"/>
    </row>
    <row r="140" spans="4:8" x14ac:dyDescent="0.25">
      <c r="H140"/>
    </row>
    <row r="141" spans="4:8" x14ac:dyDescent="0.25">
      <c r="H141"/>
    </row>
    <row r="142" spans="4:8" x14ac:dyDescent="0.25">
      <c r="H142"/>
    </row>
  </sheetData>
  <mergeCells count="3">
    <mergeCell ref="A1:D1"/>
    <mergeCell ref="A3:D3"/>
    <mergeCell ref="H6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Parâmetros</vt:lpstr>
      <vt:lpstr>Modelo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Orugian</cp:lastModifiedBy>
  <cp:revision/>
  <dcterms:created xsi:type="dcterms:W3CDTF">2025-09-22T20:21:50Z</dcterms:created>
  <dcterms:modified xsi:type="dcterms:W3CDTF">2026-02-12T17:49:07Z</dcterms:modified>
  <cp:category/>
  <cp:contentStatus/>
</cp:coreProperties>
</file>